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Electrolux/"/>
    </mc:Choice>
  </mc:AlternateContent>
  <xr:revisionPtr revIDLastSave="98" documentId="8_{B78DD08D-6342-4DD6-869E-81B4C66DF1AF}" xr6:coauthVersionLast="47" xr6:coauthVersionMax="47" xr10:uidLastSave="{408FFBBE-2A81-42A1-9A07-21F6C98833C4}"/>
  <bookViews>
    <workbookView xWindow="-98" yWindow="-98" windowWidth="21795" windowHeight="12975" tabRatio="958" xr2:uid="{4F180DBB-2D27-44A5-BB20-72766F3B0AE8}"/>
  </bookViews>
  <sheets>
    <sheet name="ใบงาน Electrolux" sheetId="16" r:id="rId1"/>
    <sheet name="A2-QC ถุง" sheetId="17" r:id="rId2"/>
  </sheets>
  <definedNames>
    <definedName name="_xlnm.Print_Area" localSheetId="0">'ใบงาน Electrolux'!$A$1:$O$36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6" l="1"/>
  <c r="D23" i="16"/>
  <c r="N20" i="16"/>
  <c r="B8" i="17"/>
  <c r="F29" i="16"/>
  <c r="F16" i="16"/>
  <c r="G16" i="16"/>
  <c r="D21" i="16"/>
  <c r="D29" i="16"/>
  <c r="G7" i="17"/>
  <c r="W7" i="17"/>
  <c r="B10" i="17"/>
</calcChain>
</file>

<file path=xl/sharedStrings.xml><?xml version="1.0" encoding="utf-8"?>
<sst xmlns="http://schemas.openxmlformats.org/spreadsheetml/2006/main" count="297" uniqueCount="205">
  <si>
    <t>ABW00002</t>
  </si>
  <si>
    <t>K9801-60084</t>
  </si>
  <si>
    <t xml:space="preserve"> </t>
  </si>
  <si>
    <t>วันที่</t>
  </si>
  <si>
    <t>ลูกค้า</t>
  </si>
  <si>
    <t>แผนก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</si>
  <si>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</si>
  <si>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</si>
  <si>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</si>
  <si>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</si>
  <si>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</si>
  <si>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</si>
  <si>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</si>
  <si>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จำนวนที่ผ่าน</t>
  </si>
  <si>
    <t>จำนวนที่ไม่ผ่าน</t>
  </si>
  <si>
    <t>ความยาวที่ต้องการ</t>
  </si>
  <si>
    <t>ไม้บรรทัดเหล็ก</t>
  </si>
  <si>
    <t>วัสดุที่เบิกใช้ในการตัดสายยาง</t>
  </si>
  <si>
    <t>จำนวนสายยางที่เบิกเป็นมิลลิเมตร</t>
  </si>
  <si>
    <t xml:space="preserve">ใบงานตัดสายยางและ บรรจุ  </t>
  </si>
  <si>
    <t>ผลิต (Production)</t>
  </si>
  <si>
    <t>กล่องพลาสติคใส่สายยางพร้อมฝาปิดกันฝุ่น</t>
  </si>
  <si>
    <t>1 กล่อง</t>
  </si>
  <si>
    <t>304.8-309.8</t>
  </si>
  <si>
    <t>จำนวนที่ตรวจสอบความยาวของสายยาง (MM)</t>
  </si>
  <si>
    <t>แผ่นยางสำหรับกำจัดฝุ่น</t>
  </si>
  <si>
    <t>1 แผ่น</t>
  </si>
  <si>
    <t>Lot No:</t>
  </si>
  <si>
    <t>เลขที่ใบงาน RI</t>
  </si>
  <si>
    <t>ลายเซ็นต์</t>
  </si>
  <si>
    <t>1 อัน</t>
  </si>
  <si>
    <t>ถุงพลาสติค packing</t>
  </si>
  <si>
    <t xml:space="preserve">ตารางเบิกสายยาง </t>
  </si>
  <si>
    <t xml:space="preserve">วันที่ </t>
  </si>
  <si>
    <t>จำนวน/ม้วน</t>
  </si>
  <si>
    <t>Lot number ของสายยาง</t>
  </si>
  <si>
    <t>การตรวจสอบคุณภาพก่อนบรรจุ  / QC in process</t>
  </si>
  <si>
    <t>จำนวนสายยางที่ตัดได้(เส้น)</t>
  </si>
  <si>
    <t>K9801-60082</t>
  </si>
  <si>
    <t>Customer PO</t>
  </si>
  <si>
    <t>OR CODE</t>
  </si>
  <si>
    <t>-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</si>
  <si>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</si>
  <si>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 xml:space="preserve">เอกสารตรวจสอบผลิตภัณฑ์ QC (Quality Control) </t>
  </si>
  <si>
    <t>Lot no</t>
  </si>
  <si>
    <t>จำนวนถุงที่ผลิต</t>
  </si>
  <si>
    <t>QR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</si>
  <si>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</si>
  <si>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</si>
  <si>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</si>
  <si>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</si>
  <si>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</si>
  <si>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</si>
  <si>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</si>
  <si>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</si>
  <si>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</si>
  <si>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</si>
  <si>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</si>
  <si>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</si>
  <si>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</si>
  <si>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</si>
  <si>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</si>
  <si>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</si>
  <si>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</si>
  <si>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</si>
  <si>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</si>
  <si>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</si>
  <si>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</si>
  <si>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</si>
  <si>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</si>
  <si>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</si>
  <si>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</si>
  <si>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</si>
  <si>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</si>
  <si>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</si>
  <si>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</si>
  <si>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</si>
  <si>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</si>
  <si>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</si>
  <si>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</si>
  <si>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</si>
  <si>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</si>
  <si>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ABW00007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</si>
  <si>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</si>
  <si>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</si>
  <si>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</si>
  <si>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</si>
  <si>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</si>
  <si>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</si>
  <si>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</si>
  <si>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</si>
  <si>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</si>
  <si>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</si>
  <si>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</si>
  <si>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</si>
  <si>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</si>
  <si>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</si>
  <si>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</si>
  <si>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</si>
  <si>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</si>
  <si>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</si>
  <si>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</si>
  <si>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</si>
  <si>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</si>
  <si>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</si>
  <si>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</si>
  <si>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</si>
  <si>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</si>
  <si>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</si>
  <si>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</si>
  <si>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</si>
  <si>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</si>
  <si>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</si>
  <si>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</si>
  <si>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</si>
  <si>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</si>
  <si>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</si>
  <si>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</si>
  <si>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</si>
  <si>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</si>
  <si>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</si>
  <si>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</si>
  <si>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</si>
  <si>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</si>
  <si>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</si>
  <si>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</si>
  <si>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</si>
  <si>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</si>
  <si>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</si>
  <si>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</si>
  <si>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</si>
  <si>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</si>
  <si>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</si>
  <si>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</si>
  <si>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</si>
  <si>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</si>
  <si>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</si>
  <si>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</si>
  <si>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</si>
  <si>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</si>
  <si>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</si>
  <si>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</si>
  <si>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</si>
  <si>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</si>
  <si>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</si>
  <si>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</si>
  <si>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</si>
  <si>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</si>
  <si>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</si>
  <si>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</si>
  <si>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</si>
  <si>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</si>
  <si>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</si>
  <si>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</si>
  <si>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</si>
  <si>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</si>
  <si>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</si>
  <si>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</si>
  <si>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</si>
  <si>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</si>
  <si>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</si>
  <si>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</si>
  <si>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</si>
  <si>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</si>
  <si>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</si>
  <si>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</si>
  <si>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</si>
  <si>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</si>
  <si>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</si>
  <si>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</si>
  <si>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</si>
  <si>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</si>
  <si>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</si>
  <si>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</si>
  <si>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</si>
  <si>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</si>
  <si>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</si>
  <si>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</si>
  <si>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</si>
  <si>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</si>
  <si>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</si>
  <si>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</si>
  <si>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</si>
  <si>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</si>
  <si>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</si>
  <si>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</si>
  <si>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PO12345</t>
  </si>
  <si>
    <t>xxxx</t>
  </si>
  <si>
    <t>ELECTROLUX</t>
  </si>
  <si>
    <t>คัตเตอร์แบบวงกลม</t>
  </si>
  <si>
    <t>ถุงพลาสติค S</t>
  </si>
  <si>
    <t>3x6 นิ้ว</t>
  </si>
  <si>
    <t>ขนาด 30 เซนติเมตร</t>
  </si>
  <si>
    <t>362-00317</t>
  </si>
  <si>
    <t>ท่อหด</t>
  </si>
  <si>
    <t>ควายยาวสายยาง(เมตร)ต่อม้วน</t>
  </si>
  <si>
    <r>
      <rPr>
        <b/>
        <sz val="20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</si>
  <si>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mm</t>
  </si>
  <si>
    <t>49.8-51.8 mm</t>
  </si>
  <si>
    <t>P/N</t>
  </si>
  <si>
    <t>E25532</t>
  </si>
  <si>
    <t>ขนาด 16"x 26"</t>
  </si>
  <si>
    <t>จำนวนสายยาง/ถุง</t>
  </si>
  <si>
    <t>จำนวนม้วนของสายยางที่เบิกทั้งหมด(ม้วน)</t>
  </si>
  <si>
    <t xml:space="preserve">
SHINAKAWA HEAT SHRINK TUBE MODEL  G5-0060B  6.0 mm x 50.8 mm
RED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</si>
</sst>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9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b/>
      <sz val="20"/>
      <color theme="1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5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0" fontId="7" fillId="0" borderId="7" xfId="0" applyFont="1" applyBorder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10" fillId="5" borderId="7" xfId="0" applyFont="1" applyFill="1" applyBorder="1"/>
    <xf numFmtId="0" fontId="10" fillId="5" borderId="7" xfId="0" applyFont="1" applyFill="1" applyBorder="1" applyAlignment="1">
      <alignment horizontal="center"/>
    </xf>
    <xf numFmtId="0" fontId="7" fillId="5" borderId="7" xfId="0" applyFont="1" applyFill="1" applyBorder="1"/>
    <xf numFmtId="0" fontId="14" fillId="2" borderId="0" xfId="0" applyFont="1" applyFill="1"/>
    <xf numFmtId="0" fontId="7" fillId="5" borderId="0" xfId="0" applyFont="1" applyFill="1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0" xfId="0" applyFont="1"/>
    <xf numFmtId="0" fontId="19" fillId="0" borderId="13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4" fillId="0" borderId="0" xfId="0" applyFont="1"/>
    <xf numFmtId="0" fontId="0" fillId="0" borderId="0" xfId="0" applyAlignment="1">
      <alignment horizontal="center"/>
    </xf>
    <xf numFmtId="0" fontId="7" fillId="5" borderId="0" xfId="0" applyFont="1" applyFill="1"/>
    <xf numFmtId="0" fontId="13" fillId="2" borderId="0" xfId="0" applyFont="1" applyFill="1" applyAlignment="1">
      <alignment horizontal="left" vertical="center"/>
    </xf>
    <xf numFmtId="165" fontId="7" fillId="0" borderId="0" xfId="3" applyNumberFormat="1" applyFont="1" applyAlignment="1">
      <alignment horizontal="center" vertical="center"/>
    </xf>
    <xf numFmtId="165" fontId="7" fillId="5" borderId="0" xfId="3" applyNumberFormat="1" applyFont="1" applyFill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12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top" wrapText="1"/>
    </xf>
    <xf numFmtId="0" fontId="8" fillId="2" borderId="14" xfId="0" applyFont="1" applyFill="1" applyBorder="1" applyAlignment="1">
      <alignment horizontal="center" vertical="top"/>
    </xf>
    <xf numFmtId="0" fontId="8" fillId="2" borderId="8" xfId="0" applyFont="1" applyFill="1" applyBorder="1" applyAlignment="1">
      <alignment horizontal="center" vertical="top"/>
    </xf>
    <xf numFmtId="0" fontId="13" fillId="2" borderId="2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vertical="top" wrapText="1"/>
    </xf>
    <xf numFmtId="0" fontId="7" fillId="2" borderId="12" xfId="0" quotePrefix="1" applyFont="1" applyFill="1" applyBorder="1" applyAlignment="1">
      <alignment horizontal="center"/>
    </xf>
    <xf numFmtId="0" fontId="7" fillId="2" borderId="11" xfId="0" quotePrefix="1" applyFont="1" applyFill="1" applyBorder="1" applyAlignment="1">
      <alignment horizontal="center"/>
    </xf>
    <xf numFmtId="0" fontId="7" fillId="2" borderId="13" xfId="0" quotePrefix="1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165" fontId="7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" fillId="2" borderId="0" xfId="0" applyFont="1" applyFill="1"/>
    <xf numFmtId="0" fontId="9" fillId="4" borderId="3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165" fontId="7" fillId="2" borderId="5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" fillId="4" borderId="3" xfId="0" quotePrefix="1" applyFont="1" applyFill="1" applyBorder="1" applyAlignment="1">
      <alignment horizontal="center" vertical="center"/>
    </xf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B8B901-C61B-4CD5-AAFE-772AA8CE98F6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0</xdr:col>
      <xdr:colOff>410493</xdr:colOff>
      <xdr:row>0</xdr:row>
      <xdr:rowOff>77921</xdr:rowOff>
    </xdr:from>
    <xdr:to>
      <xdr:col>1</xdr:col>
      <xdr:colOff>596747</xdr:colOff>
      <xdr:row>4</xdr:row>
      <xdr:rowOff>74593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0F920F-4CFC-4CD6-9EFA-0DFC0AD8BE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493" y="77921"/>
          <a:ext cx="811691" cy="73686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047CD-AE92-4EAD-B451-23B5276C60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780FB8-8411-4047-B8F6-D061A4C04616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72C6-CB59-4877-9047-3A704F458889}">
  <dimension ref="A1:O39"/>
  <sheetViews>
    <sheetView tabSelected="1" zoomScale="83" zoomScaleNormal="83" workbookViewId="0">
      <selection activeCell="N9" sqref="N9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2" customWidth="1"/>
    <col min="4" max="4" width="12.73046875" style="2" customWidth="1"/>
    <col min="5" max="5" width="14.86328125" style="2" customWidth="1"/>
    <col min="6" max="6" width="12.73046875" style="2" customWidth="1"/>
    <col min="7" max="7" width="14.73046875" style="1" customWidth="1"/>
    <col min="8" max="8" width="11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384" width="8.73046875" style="1"/>
  </cols>
  <sheetData>
    <row r="1" spans="1:15" ht="23.25" customHeight="1">
      <c r="A1" s="60" t="s">
        <v>196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5" ht="11.6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5" ht="11.6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5" ht="11.6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1:15" ht="11.65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</row>
    <row r="6" spans="1:15" ht="22.5">
      <c r="A6" s="4" t="s">
        <v>19</v>
      </c>
      <c r="N6" s="5"/>
      <c r="O6" s="5" t="s">
        <v>2</v>
      </c>
    </row>
    <row r="7" spans="1:15" s="7" customFormat="1" ht="21" customHeight="1">
      <c r="A7" s="8" t="s">
        <v>3</v>
      </c>
      <c r="C7" s="30"/>
      <c r="D7" s="8" t="s">
        <v>27</v>
      </c>
      <c r="E7" s="8"/>
      <c r="F7" s="30" t="s">
        <v>187</v>
      </c>
      <c r="G7" s="30"/>
      <c r="J7" s="8"/>
      <c r="K7" s="7" t="s">
        <v>28</v>
      </c>
      <c r="L7" s="21" t="s">
        <v>2</v>
      </c>
      <c r="M7" s="31" t="s">
        <v>187</v>
      </c>
      <c r="N7" s="29"/>
      <c r="O7" s="8"/>
    </row>
    <row r="8" spans="1:15" s="7" customFormat="1" ht="21" customHeight="1">
      <c r="A8" s="8" t="s">
        <v>5</v>
      </c>
      <c r="B8" s="7" t="s">
        <v>20</v>
      </c>
      <c r="C8" s="8"/>
      <c r="D8" s="8" t="s">
        <v>2</v>
      </c>
      <c r="E8" s="8"/>
      <c r="F8" s="50" t="s">
        <v>2</v>
      </c>
      <c r="J8" s="8"/>
      <c r="K8" s="7" t="s">
        <v>8</v>
      </c>
      <c r="M8" s="49"/>
      <c r="N8" s="52">
        <v>1900</v>
      </c>
      <c r="O8" s="8"/>
    </row>
    <row r="9" spans="1:15" s="7" customFormat="1" ht="21" customHeight="1">
      <c r="A9" s="8" t="s">
        <v>4</v>
      </c>
      <c r="B9" s="6" t="s">
        <v>188</v>
      </c>
      <c r="C9" s="8"/>
      <c r="D9" s="7" t="s">
        <v>2</v>
      </c>
      <c r="E9" s="8"/>
      <c r="F9" s="32" t="s">
        <v>41</v>
      </c>
      <c r="J9" s="8"/>
      <c r="K9" s="8" t="s">
        <v>39</v>
      </c>
      <c r="M9" s="33"/>
      <c r="N9" s="33" t="s">
        <v>186</v>
      </c>
      <c r="O9" s="8"/>
    </row>
    <row r="10" spans="1:15" s="15" customFormat="1" ht="21" customHeight="1">
      <c r="A10" s="26" t="s">
        <v>15</v>
      </c>
      <c r="C10" s="11">
        <v>50.8</v>
      </c>
      <c r="D10" s="14" t="s">
        <v>197</v>
      </c>
      <c r="E10" s="14"/>
      <c r="F10" s="14"/>
      <c r="J10" s="14"/>
      <c r="K10" s="14"/>
      <c r="N10" s="14"/>
      <c r="O10" s="14"/>
    </row>
    <row r="11" spans="1:15" s="15" customFormat="1" ht="21" customHeight="1">
      <c r="A11" s="14"/>
      <c r="B11" s="15" t="s">
        <v>40</v>
      </c>
      <c r="C11" s="14"/>
      <c r="D11" s="14"/>
      <c r="E11" s="14"/>
      <c r="F11" s="14"/>
      <c r="J11" s="14"/>
      <c r="K11" s="8"/>
      <c r="L11" s="14"/>
      <c r="M11" s="14"/>
      <c r="N11" s="14"/>
      <c r="O11" s="14"/>
    </row>
    <row r="12" spans="1:15" s="15" customFormat="1" ht="21" customHeight="1">
      <c r="A12" s="16" t="s">
        <v>17</v>
      </c>
      <c r="C12" s="14"/>
      <c r="D12" s="14"/>
      <c r="E12" s="14"/>
      <c r="F12" s="14"/>
      <c r="J12" s="14"/>
      <c r="K12" s="8"/>
      <c r="L12" s="7"/>
      <c r="N12" s="14"/>
      <c r="O12" s="14"/>
    </row>
    <row r="13" spans="1:15" s="15" customFormat="1" ht="21" customHeight="1">
      <c r="A13" s="14"/>
      <c r="C13" s="14"/>
      <c r="D13" s="14"/>
      <c r="E13" s="14"/>
      <c r="F13" s="14"/>
      <c r="J13" s="14"/>
      <c r="K13" s="8"/>
      <c r="L13" s="7"/>
      <c r="N13" s="14"/>
      <c r="O13" s="14"/>
    </row>
    <row r="14" spans="1:15" s="15" customFormat="1" ht="21" customHeight="1">
      <c r="A14" s="84" t="s">
        <v>12</v>
      </c>
      <c r="B14" s="55" t="s">
        <v>11</v>
      </c>
      <c r="C14" s="84" t="s">
        <v>10</v>
      </c>
      <c r="D14" s="54" t="s">
        <v>202</v>
      </c>
      <c r="E14" s="57" t="s">
        <v>195</v>
      </c>
      <c r="F14" s="54" t="s">
        <v>18</v>
      </c>
      <c r="G14" s="142" t="s">
        <v>203</v>
      </c>
      <c r="I14" s="17"/>
      <c r="J14" s="145"/>
    </row>
    <row r="15" spans="1:15" s="15" customFormat="1" ht="33.75" customHeight="1">
      <c r="A15" s="84"/>
      <c r="B15" s="56"/>
      <c r="C15" s="84"/>
      <c r="D15" s="54"/>
      <c r="E15" s="58"/>
      <c r="F15" s="59"/>
      <c r="G15" s="143"/>
      <c r="I15" s="17"/>
      <c r="J15" s="145"/>
    </row>
    <row r="16" spans="1:15" s="15" customFormat="1" ht="21" customHeight="1">
      <c r="A16" s="18">
        <v>1</v>
      </c>
      <c r="B16" s="23" t="s">
        <v>194</v>
      </c>
      <c r="C16" s="22" t="s">
        <v>200</v>
      </c>
      <c r="D16" s="22">
        <v>20</v>
      </c>
      <c r="E16" s="10">
        <v>100</v>
      </c>
      <c r="F16" s="20">
        <f>C10*N8</f>
        <v>96520</v>
      </c>
      <c r="G16" s="20">
        <f>F16/E16/10/100</f>
        <v>0.96520000000000006</v>
      </c>
      <c r="J16" s="146"/>
      <c r="K16" s="7"/>
    </row>
    <row r="17" spans="1:15" s="15" customFormat="1" ht="21" customHeight="1">
      <c r="A17" s="12">
        <v>2</v>
      </c>
      <c r="B17" s="19" t="s">
        <v>189</v>
      </c>
      <c r="C17" s="12"/>
      <c r="D17" s="12" t="s">
        <v>30</v>
      </c>
      <c r="E17" s="12"/>
      <c r="F17" s="19"/>
      <c r="G17" s="19"/>
      <c r="I17" s="14"/>
      <c r="J17" s="146"/>
      <c r="K17" s="7"/>
      <c r="M17" s="14"/>
      <c r="N17" s="14"/>
    </row>
    <row r="18" spans="1:15" s="15" customFormat="1" ht="21" customHeight="1">
      <c r="A18" s="12">
        <v>3</v>
      </c>
      <c r="B18" s="19" t="s">
        <v>21</v>
      </c>
      <c r="C18" s="12"/>
      <c r="D18" s="12" t="s">
        <v>22</v>
      </c>
      <c r="E18" s="12"/>
      <c r="F18" s="19"/>
      <c r="G18" s="19"/>
      <c r="I18" s="14"/>
      <c r="J18" s="147"/>
      <c r="K18" s="7"/>
      <c r="M18" s="14"/>
      <c r="N18" s="14"/>
    </row>
    <row r="19" spans="1:15" s="15" customFormat="1" ht="21" customHeight="1">
      <c r="A19" s="12">
        <v>4</v>
      </c>
      <c r="B19" s="19" t="s">
        <v>25</v>
      </c>
      <c r="C19" s="12"/>
      <c r="D19" s="12" t="s">
        <v>26</v>
      </c>
      <c r="E19" s="12"/>
      <c r="F19" s="19"/>
      <c r="G19" s="19"/>
      <c r="I19" s="14"/>
      <c r="J19" s="6"/>
      <c r="K19" s="7"/>
      <c r="M19" s="14"/>
      <c r="N19" s="14"/>
    </row>
    <row r="20" spans="1:15" s="15" customFormat="1" ht="21" customHeight="1">
      <c r="A20" s="12">
        <v>5</v>
      </c>
      <c r="B20" s="24" t="s">
        <v>190</v>
      </c>
      <c r="C20" s="22" t="s">
        <v>191</v>
      </c>
      <c r="D20" s="53">
        <f>N8/20</f>
        <v>95</v>
      </c>
      <c r="E20" s="12"/>
      <c r="F20" s="19"/>
      <c r="G20" s="19"/>
      <c r="I20" s="14"/>
      <c r="J20" s="6"/>
      <c r="K20" s="7"/>
      <c r="M20" s="14"/>
      <c r="N20" s="14">
        <f>3800/20</f>
        <v>190</v>
      </c>
    </row>
    <row r="21" spans="1:15" s="15" customFormat="1" ht="21" customHeight="1">
      <c r="A21" s="12">
        <v>6</v>
      </c>
      <c r="B21" s="19" t="s">
        <v>6</v>
      </c>
      <c r="C21" s="12" t="s">
        <v>7</v>
      </c>
      <c r="D21" s="53">
        <f>D20</f>
        <v>95</v>
      </c>
      <c r="E21" s="12"/>
      <c r="F21" s="19"/>
      <c r="G21" s="19"/>
      <c r="I21" s="14"/>
      <c r="J21" s="6"/>
      <c r="K21" s="7"/>
      <c r="M21" s="14"/>
      <c r="N21" s="14"/>
    </row>
    <row r="22" spans="1:15" s="15" customFormat="1" ht="21" customHeight="1">
      <c r="A22" s="12">
        <v>7</v>
      </c>
      <c r="B22" s="19" t="s">
        <v>16</v>
      </c>
      <c r="C22" s="12" t="s">
        <v>192</v>
      </c>
      <c r="D22" s="12" t="s">
        <v>30</v>
      </c>
      <c r="E22" s="12"/>
      <c r="F22" s="19"/>
      <c r="G22" s="19"/>
      <c r="I22" s="14"/>
      <c r="J22" s="6"/>
      <c r="K22" s="7"/>
      <c r="M22" s="14"/>
      <c r="N22" s="14"/>
    </row>
    <row r="23" spans="1:15" s="15" customFormat="1" ht="21" customHeight="1">
      <c r="A23" s="12">
        <v>8</v>
      </c>
      <c r="B23" s="19" t="s">
        <v>31</v>
      </c>
      <c r="C23" s="12" t="s">
        <v>201</v>
      </c>
      <c r="D23" s="53">
        <f>N8/3800</f>
        <v>0.5</v>
      </c>
      <c r="E23" s="12"/>
      <c r="F23" s="19"/>
      <c r="G23" s="19"/>
      <c r="I23" s="14"/>
      <c r="J23" s="6"/>
      <c r="K23" s="25"/>
      <c r="L23" s="26"/>
    </row>
    <row r="24" spans="1:15" s="15" customFormat="1" ht="21" customHeight="1">
      <c r="A24" s="14"/>
      <c r="C24" s="14"/>
      <c r="D24" s="14"/>
      <c r="E24" s="14"/>
      <c r="F24" s="14"/>
      <c r="J24" s="14"/>
      <c r="K24" s="14"/>
      <c r="N24" s="14"/>
      <c r="O24" s="14"/>
    </row>
    <row r="25" spans="1:15" s="15" customFormat="1" ht="21" customHeight="1">
      <c r="A25" s="3" t="s">
        <v>36</v>
      </c>
      <c r="C25" s="14"/>
      <c r="D25" s="14"/>
      <c r="E25" s="14"/>
      <c r="F25" s="14"/>
      <c r="J25" s="14"/>
      <c r="K25" s="14"/>
      <c r="N25" s="14"/>
    </row>
    <row r="26" spans="1:15" s="15" customFormat="1" ht="21" customHeight="1">
      <c r="A26" s="14"/>
      <c r="C26" s="14"/>
      <c r="D26" s="14"/>
      <c r="E26" s="14"/>
      <c r="F26" s="14"/>
      <c r="J26" s="14"/>
      <c r="K26" s="14"/>
      <c r="N26" s="14"/>
      <c r="O26" s="14"/>
    </row>
    <row r="27" spans="1:15" s="15" customFormat="1" ht="30.4" customHeight="1">
      <c r="A27" s="84" t="s">
        <v>12</v>
      </c>
      <c r="B27" s="84" t="s">
        <v>11</v>
      </c>
      <c r="C27" s="84" t="s">
        <v>10</v>
      </c>
      <c r="D27" s="84" t="s">
        <v>9</v>
      </c>
      <c r="E27" s="9"/>
      <c r="F27" s="139" t="s">
        <v>37</v>
      </c>
      <c r="G27" s="54" t="s">
        <v>32</v>
      </c>
      <c r="H27" s="54"/>
      <c r="I27" s="54"/>
      <c r="J27" s="140"/>
      <c r="K27" s="54" t="s">
        <v>24</v>
      </c>
      <c r="L27" s="54"/>
      <c r="M27" s="54"/>
      <c r="N27" s="54" t="s">
        <v>29</v>
      </c>
      <c r="O27" s="7"/>
    </row>
    <row r="28" spans="1:15" s="15" customFormat="1" ht="30.4" customHeight="1">
      <c r="A28" s="84"/>
      <c r="B28" s="84"/>
      <c r="C28" s="55"/>
      <c r="D28" s="84"/>
      <c r="E28" s="9"/>
      <c r="F28" s="139"/>
      <c r="G28" s="13" t="s">
        <v>33</v>
      </c>
      <c r="H28" s="13" t="s">
        <v>34</v>
      </c>
      <c r="I28" s="13" t="s">
        <v>35</v>
      </c>
      <c r="J28" s="141" t="s">
        <v>29</v>
      </c>
      <c r="K28" s="9" t="s">
        <v>15</v>
      </c>
      <c r="L28" s="13" t="s">
        <v>13</v>
      </c>
      <c r="M28" s="13" t="s">
        <v>14</v>
      </c>
      <c r="N28" s="54"/>
      <c r="O28" s="7"/>
    </row>
    <row r="29" spans="1:15" s="15" customFormat="1" ht="21" customHeight="1">
      <c r="A29" s="67">
        <v>1</v>
      </c>
      <c r="B29" s="61" t="s">
        <v>204</v>
      </c>
      <c r="C29" s="153"/>
      <c r="D29" s="150">
        <f>N8</f>
        <v>1900</v>
      </c>
      <c r="E29" s="10"/>
      <c r="F29" s="144">
        <f>N8*C10</f>
        <v>96520</v>
      </c>
      <c r="G29" s="27"/>
      <c r="H29" s="27"/>
      <c r="I29" s="27"/>
      <c r="J29" s="28"/>
      <c r="K29" s="64" t="s">
        <v>198</v>
      </c>
      <c r="L29" s="10"/>
      <c r="M29" s="19"/>
      <c r="N29" s="19"/>
      <c r="O29" s="7"/>
    </row>
    <row r="30" spans="1:15" s="15" customFormat="1" ht="21" customHeight="1">
      <c r="A30" s="68"/>
      <c r="B30" s="62"/>
      <c r="C30" s="148"/>
      <c r="D30" s="151"/>
      <c r="E30" s="10"/>
      <c r="F30" s="65"/>
      <c r="G30" s="27"/>
      <c r="H30" s="27"/>
      <c r="I30" s="27"/>
      <c r="J30" s="28"/>
      <c r="K30" s="64"/>
      <c r="L30" s="12"/>
      <c r="M30" s="19"/>
      <c r="N30" s="19"/>
      <c r="O30" s="7"/>
    </row>
    <row r="31" spans="1:15" s="15" customFormat="1" ht="21" customHeight="1">
      <c r="A31" s="68"/>
      <c r="B31" s="62"/>
      <c r="C31" s="148"/>
      <c r="D31" s="151"/>
      <c r="E31" s="10"/>
      <c r="F31" s="65"/>
      <c r="G31" s="27"/>
      <c r="H31" s="27"/>
      <c r="I31" s="27"/>
      <c r="J31" s="28"/>
      <c r="K31" s="64"/>
      <c r="L31" s="19"/>
      <c r="M31" s="19"/>
      <c r="N31" s="19"/>
      <c r="O31" s="7"/>
    </row>
    <row r="32" spans="1:15" s="15" customFormat="1" ht="21" customHeight="1">
      <c r="A32" s="68"/>
      <c r="B32" s="62"/>
      <c r="C32" s="154" t="s">
        <v>193</v>
      </c>
      <c r="D32" s="151"/>
      <c r="E32" s="10"/>
      <c r="F32" s="65"/>
      <c r="G32" s="27"/>
      <c r="H32" s="27"/>
      <c r="I32" s="27"/>
      <c r="J32" s="28"/>
      <c r="K32" s="64"/>
      <c r="L32" s="19"/>
      <c r="M32" s="19"/>
      <c r="N32" s="19"/>
      <c r="O32" s="7"/>
    </row>
    <row r="33" spans="1:15" s="15" customFormat="1" ht="21" customHeight="1">
      <c r="A33" s="68"/>
      <c r="B33" s="62"/>
      <c r="C33" s="148"/>
      <c r="D33" s="151"/>
      <c r="E33" s="10"/>
      <c r="F33" s="65"/>
      <c r="G33" s="27"/>
      <c r="H33" s="27"/>
      <c r="I33" s="27"/>
      <c r="J33" s="28"/>
      <c r="K33" s="64"/>
      <c r="L33" s="19"/>
      <c r="M33" s="19"/>
      <c r="N33" s="19"/>
      <c r="O33" s="7"/>
    </row>
    <row r="34" spans="1:15" s="15" customFormat="1" ht="21" customHeight="1">
      <c r="A34" s="68"/>
      <c r="B34" s="62"/>
      <c r="C34" s="148"/>
      <c r="D34" s="151"/>
      <c r="E34" s="19"/>
      <c r="F34" s="65"/>
      <c r="G34" s="27"/>
      <c r="H34" s="27"/>
      <c r="I34" s="27"/>
      <c r="J34" s="28"/>
      <c r="K34" s="64"/>
      <c r="L34" s="19"/>
      <c r="M34" s="19"/>
      <c r="N34" s="19"/>
      <c r="O34" s="7"/>
    </row>
    <row r="35" spans="1:15" s="15" customFormat="1" ht="21" customHeight="1">
      <c r="A35" s="68"/>
      <c r="B35" s="62"/>
      <c r="C35" s="148"/>
      <c r="D35" s="151"/>
      <c r="E35" s="12"/>
      <c r="F35" s="65"/>
      <c r="G35" s="27"/>
      <c r="H35" s="27"/>
      <c r="I35" s="27"/>
      <c r="J35" s="28"/>
      <c r="K35" s="64"/>
      <c r="L35" s="19"/>
      <c r="M35" s="19"/>
      <c r="N35" s="19"/>
      <c r="O35" s="7"/>
    </row>
    <row r="36" spans="1:15" s="15" customFormat="1" ht="21" customHeight="1">
      <c r="A36" s="69"/>
      <c r="B36" s="63"/>
      <c r="C36" s="149"/>
      <c r="D36" s="152"/>
      <c r="E36" s="12"/>
      <c r="F36" s="66"/>
      <c r="G36" s="27"/>
      <c r="H36" s="27"/>
      <c r="I36" s="27"/>
      <c r="J36" s="28"/>
      <c r="K36" s="64"/>
      <c r="L36" s="19"/>
      <c r="M36" s="19"/>
      <c r="N36" s="19"/>
      <c r="O36" s="7"/>
    </row>
    <row r="37" spans="1:15" s="15" customFormat="1" ht="21" customHeight="1">
      <c r="A37" s="14"/>
      <c r="C37" s="14"/>
      <c r="D37" s="14"/>
      <c r="E37" s="14"/>
      <c r="F37" s="14"/>
      <c r="J37" s="14"/>
      <c r="K37" s="14"/>
      <c r="N37" s="14"/>
      <c r="O37" s="14"/>
    </row>
    <row r="38" spans="1:15" s="15" customFormat="1" ht="21" customHeight="1">
      <c r="A38" s="14"/>
      <c r="C38" s="14"/>
      <c r="D38" s="14"/>
      <c r="E38" s="14"/>
      <c r="F38" s="14"/>
      <c r="J38" s="14"/>
      <c r="K38" s="14"/>
      <c r="N38" s="14"/>
      <c r="O38" s="14"/>
    </row>
    <row r="39" spans="1:15" s="15" customFormat="1" ht="21" customHeight="1">
      <c r="A39" s="14"/>
      <c r="C39" s="14"/>
      <c r="D39" s="14"/>
      <c r="E39" s="14"/>
      <c r="F39" s="14"/>
      <c r="J39" s="14"/>
      <c r="K39" s="14"/>
      <c r="N39" s="14"/>
      <c r="O39" s="14"/>
    </row>
  </sheetData>
  <mergeCells count="23">
    <mergeCell ref="A1:N5"/>
    <mergeCell ref="J16:J17"/>
    <mergeCell ref="B29:B36"/>
    <mergeCell ref="N27:N28"/>
    <mergeCell ref="K29:K36"/>
    <mergeCell ref="D29:D36"/>
    <mergeCell ref="F29:F36"/>
    <mergeCell ref="G27:J27"/>
    <mergeCell ref="K27:M27"/>
    <mergeCell ref="A29:A36"/>
    <mergeCell ref="F14:F15"/>
    <mergeCell ref="G14:G15"/>
    <mergeCell ref="J14:J15"/>
    <mergeCell ref="A27:A28"/>
    <mergeCell ref="B27:B28"/>
    <mergeCell ref="C27:C28"/>
    <mergeCell ref="D27:D28"/>
    <mergeCell ref="F27:F28"/>
    <mergeCell ref="A14:A15"/>
    <mergeCell ref="B14:B15"/>
    <mergeCell ref="C14:C15"/>
    <mergeCell ref="D14:D15"/>
    <mergeCell ref="E14:E15"/>
  </mergeCells>
  <pageMargins left="0.118110236220472" right="0" top="0.15748031496063" bottom="0" header="0.31496062992126" footer="0.31496062992126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81D4-1EE3-488C-8FBE-6BB05E65A119}">
  <dimension ref="A1:Z83"/>
  <sheetViews>
    <sheetView workbookViewId="0">
      <selection activeCell="S11" sqref="S11:V12"/>
    </sheetView>
  </sheetViews>
  <sheetFormatPr defaultRowHeight="14.25"/>
  <cols>
    <col min="1" max="1" width="15.6640625" style="48" customWidth="1"/>
    <col min="2" max="2" width="54" customWidth="1"/>
    <col min="3" max="20" width="3.19921875" customWidth="1"/>
    <col min="21" max="26" width="5.46484375" customWidth="1"/>
    <col min="28" max="28" width="15.3984375" customWidth="1"/>
  </cols>
  <sheetData>
    <row r="1" spans="1:26" ht="15" customHeight="1">
      <c r="A1" s="70" t="s">
        <v>42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34"/>
      <c r="X1" s="34"/>
      <c r="Y1" s="34"/>
      <c r="Z1" s="34"/>
    </row>
    <row r="2" spans="1:26" ht="15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34"/>
      <c r="X2" s="34"/>
      <c r="Y2" s="34"/>
      <c r="Z2" s="34"/>
    </row>
    <row r="3" spans="1:26" ht="15" customHeight="1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34"/>
      <c r="X3" s="34"/>
      <c r="Y3" s="34"/>
      <c r="Z3" s="34"/>
    </row>
    <row r="4" spans="1:26" ht="15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34"/>
      <c r="X4" s="34"/>
      <c r="Y4" s="34"/>
      <c r="Z4" s="34"/>
    </row>
    <row r="5" spans="1:26" ht="15" customHeight="1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34"/>
      <c r="X5" s="34"/>
      <c r="Y5" s="34"/>
      <c r="Z5" s="34"/>
    </row>
    <row r="6" spans="1:26" ht="29.65">
      <c r="A6" s="71" t="s">
        <v>43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s="7" customFormat="1" ht="26.25" customHeight="1">
      <c r="A7" s="72" t="s">
        <v>43</v>
      </c>
      <c r="B7" s="72"/>
      <c r="C7" s="26" t="s">
        <v>44</v>
      </c>
      <c r="E7" s="14"/>
      <c r="F7" s="14"/>
      <c r="G7" s="73" t="str">
        <f>'ใบงาน Electrolux'!F7</f>
        <v>xxxx</v>
      </c>
      <c r="H7" s="73"/>
      <c r="I7" s="73"/>
      <c r="J7" s="73"/>
      <c r="K7" s="73"/>
      <c r="L7" s="14"/>
      <c r="M7" s="14"/>
      <c r="N7" s="14"/>
      <c r="O7" s="14"/>
      <c r="P7" s="14"/>
      <c r="Q7" s="14"/>
      <c r="R7" s="14"/>
      <c r="S7" s="35" t="s">
        <v>28</v>
      </c>
      <c r="W7" s="31" t="str">
        <f>'ใบงาน Electrolux'!M7</f>
        <v>xxxx</v>
      </c>
      <c r="X7" s="31"/>
      <c r="Y7" s="31"/>
      <c r="Z7" s="31"/>
    </row>
    <row r="8" spans="1:26" s="7" customFormat="1" ht="19.5" customHeight="1">
      <c r="A8" s="8" t="s">
        <v>199</v>
      </c>
      <c r="B8" s="36" t="str">
        <f>'ใบงาน Electrolux'!C32</f>
        <v>362-00317</v>
      </c>
      <c r="C8" s="25"/>
      <c r="D8" s="25"/>
      <c r="E8" s="25"/>
      <c r="F8" s="25"/>
      <c r="G8" s="74"/>
      <c r="H8" s="74"/>
      <c r="I8" s="74"/>
      <c r="J8" s="74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6" s="7" customFormat="1" ht="19.149999999999999" customHeight="1">
      <c r="A9" s="72" t="s">
        <v>2</v>
      </c>
      <c r="B9" s="72"/>
      <c r="G9" s="74"/>
      <c r="H9" s="74"/>
      <c r="I9" s="74"/>
      <c r="J9" s="74"/>
      <c r="L9" s="14"/>
      <c r="M9" s="14"/>
      <c r="N9" s="14"/>
      <c r="O9" s="14"/>
      <c r="P9" s="14"/>
      <c r="Q9" s="14"/>
      <c r="R9" s="14"/>
    </row>
    <row r="10" spans="1:26" s="7" customFormat="1" ht="13.5" customHeight="1">
      <c r="A10" s="8" t="s">
        <v>45</v>
      </c>
      <c r="B10" s="51">
        <f>'ใบงาน Electrolux'!N8</f>
        <v>1900</v>
      </c>
      <c r="C10" s="14"/>
      <c r="D10" s="73" t="s">
        <v>2</v>
      </c>
      <c r="E10" s="73"/>
      <c r="F10" s="73"/>
      <c r="G10" s="75" t="s">
        <v>2</v>
      </c>
      <c r="H10" s="75"/>
      <c r="I10" s="75"/>
      <c r="J10" s="75"/>
      <c r="K10" s="26"/>
      <c r="L10" s="14"/>
      <c r="M10" s="14"/>
      <c r="N10" s="14"/>
      <c r="O10" s="14"/>
      <c r="P10" s="14"/>
      <c r="Q10" s="14"/>
      <c r="R10" s="14"/>
    </row>
    <row r="11" spans="1:26" s="7" customFormat="1" ht="13.5">
      <c r="A11" s="14"/>
      <c r="B11" s="15"/>
      <c r="C11" s="14"/>
      <c r="D11" s="14"/>
      <c r="E11" s="14"/>
      <c r="F11" s="14"/>
      <c r="G11" s="75" t="s">
        <v>2</v>
      </c>
      <c r="H11" s="75"/>
      <c r="I11" s="75"/>
      <c r="J11" s="75"/>
      <c r="K11" s="14"/>
      <c r="L11" s="14"/>
      <c r="M11" s="14"/>
      <c r="N11" s="14"/>
      <c r="O11" s="14"/>
      <c r="P11" s="14"/>
      <c r="Q11" s="14"/>
      <c r="R11" s="14"/>
      <c r="S11" s="146"/>
      <c r="T11" s="146"/>
      <c r="U11" s="146"/>
      <c r="V11" s="146"/>
    </row>
    <row r="12" spans="1:26" s="7" customFormat="1" ht="13.5">
      <c r="A12" s="14" t="s">
        <v>46</v>
      </c>
      <c r="B12" s="15"/>
      <c r="C12" s="14"/>
      <c r="D12" s="14"/>
      <c r="E12" s="14"/>
      <c r="F12" s="14"/>
      <c r="G12" s="75" t="s">
        <v>2</v>
      </c>
      <c r="H12" s="75"/>
      <c r="I12" s="75"/>
      <c r="J12" s="75"/>
      <c r="K12" s="14"/>
      <c r="L12" s="14"/>
      <c r="M12" s="14"/>
      <c r="N12" s="14"/>
      <c r="O12" s="14"/>
      <c r="P12" s="14"/>
      <c r="Q12" s="14"/>
      <c r="R12" s="14"/>
      <c r="S12" s="146"/>
      <c r="T12" s="146"/>
      <c r="U12" s="146"/>
      <c r="V12" s="146"/>
    </row>
    <row r="13" spans="1:26" s="7" customFormat="1" ht="13.5">
      <c r="A13" s="14"/>
      <c r="B13" s="15"/>
      <c r="C13" s="14"/>
      <c r="D13" s="14"/>
      <c r="E13" s="14"/>
      <c r="F13" s="14"/>
      <c r="G13" s="26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6" s="7" customFormat="1" ht="13.5">
      <c r="A14" s="84" t="s">
        <v>12</v>
      </c>
      <c r="B14" s="84" t="s">
        <v>47</v>
      </c>
      <c r="C14" s="76" t="s">
        <v>48</v>
      </c>
      <c r="D14" s="85"/>
      <c r="E14" s="85"/>
      <c r="F14" s="85"/>
      <c r="G14" s="85"/>
      <c r="H14" s="86"/>
      <c r="I14" s="76" t="s">
        <v>13</v>
      </c>
      <c r="J14" s="85"/>
      <c r="K14" s="85"/>
      <c r="L14" s="85"/>
      <c r="M14" s="85"/>
      <c r="N14" s="86"/>
      <c r="O14" s="76" t="s">
        <v>14</v>
      </c>
      <c r="P14" s="77"/>
      <c r="Q14" s="77"/>
      <c r="R14" s="77"/>
      <c r="S14" s="77"/>
      <c r="T14" s="78"/>
      <c r="U14" s="82" t="s">
        <v>49</v>
      </c>
      <c r="V14" s="82"/>
      <c r="W14" s="82"/>
      <c r="X14" s="82"/>
      <c r="Y14" s="82"/>
      <c r="Z14" s="82"/>
    </row>
    <row r="15" spans="1:26" s="7" customFormat="1" ht="13.5">
      <c r="A15" s="55"/>
      <c r="B15" s="84"/>
      <c r="C15" s="87"/>
      <c r="D15" s="88"/>
      <c r="E15" s="88"/>
      <c r="F15" s="88"/>
      <c r="G15" s="88"/>
      <c r="H15" s="89"/>
      <c r="I15" s="87"/>
      <c r="J15" s="88"/>
      <c r="K15" s="88"/>
      <c r="L15" s="88"/>
      <c r="M15" s="88"/>
      <c r="N15" s="89"/>
      <c r="O15" s="79"/>
      <c r="P15" s="80"/>
      <c r="Q15" s="80"/>
      <c r="R15" s="80"/>
      <c r="S15" s="80"/>
      <c r="T15" s="81"/>
      <c r="U15" s="82"/>
      <c r="V15" s="82"/>
      <c r="W15" s="82"/>
      <c r="X15" s="82"/>
      <c r="Y15" s="82"/>
      <c r="Z15" s="82"/>
    </row>
    <row r="16" spans="1:26" s="39" customFormat="1" ht="35.65" customHeight="1">
      <c r="A16" s="37">
        <v>1</v>
      </c>
      <c r="B16" s="38" t="s">
        <v>50</v>
      </c>
      <c r="C16" s="83"/>
      <c r="D16" s="83"/>
      <c r="E16" s="83"/>
      <c r="F16" s="83"/>
      <c r="G16" s="83"/>
      <c r="H16" s="83"/>
      <c r="I16" s="83" t="s">
        <v>2</v>
      </c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s="39" customFormat="1" ht="22.5" customHeight="1">
      <c r="A17" s="90">
        <v>2</v>
      </c>
      <c r="B17" s="40" t="s">
        <v>51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s="39" customFormat="1" ht="22.5" customHeight="1">
      <c r="A18" s="91"/>
      <c r="B18" s="40" t="s">
        <v>52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s="39" customFormat="1" ht="22.5" customHeight="1">
      <c r="A19" s="91"/>
      <c r="B19" s="40" t="s">
        <v>53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s="39" customFormat="1" ht="22.5" customHeight="1">
      <c r="A20" s="91"/>
      <c r="B20" s="40" t="s">
        <v>54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s="39" customFormat="1" ht="22.5" customHeight="1">
      <c r="A21" s="92"/>
      <c r="B21" s="40" t="s">
        <v>55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s="39" customFormat="1" ht="22.5" customHeight="1">
      <c r="A22" s="37">
        <v>3</v>
      </c>
      <c r="B22" s="38" t="s">
        <v>56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s="39" customFormat="1" ht="22.5" customHeight="1">
      <c r="A23" s="37">
        <v>4</v>
      </c>
      <c r="B23" s="38" t="s">
        <v>57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s="39" customFormat="1" ht="22.5" customHeight="1">
      <c r="A24" s="37">
        <v>5</v>
      </c>
      <c r="B24" s="38" t="s">
        <v>58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s="39" customFormat="1" ht="20.65" customHeight="1">
      <c r="A25" s="37">
        <v>6</v>
      </c>
      <c r="B25" s="38" t="s">
        <v>59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s="7" customFormat="1" ht="13.5">
      <c r="A26" s="8"/>
      <c r="C26" s="93"/>
      <c r="D26" s="93"/>
      <c r="E26" s="93"/>
      <c r="F26" s="93"/>
    </row>
    <row r="27" spans="1:26" s="7" customFormat="1" ht="15">
      <c r="A27" s="94" t="s">
        <v>60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26" s="41" customFormat="1" ht="15">
      <c r="A28" s="95" t="s">
        <v>61</v>
      </c>
      <c r="B28" s="96"/>
      <c r="C28" s="99" t="s">
        <v>62</v>
      </c>
      <c r="D28" s="99"/>
      <c r="E28" s="99"/>
      <c r="F28" s="99"/>
      <c r="G28" s="100" t="s">
        <v>63</v>
      </c>
      <c r="H28" s="101"/>
      <c r="I28" s="101"/>
      <c r="J28" s="102"/>
      <c r="L28" s="98" t="s">
        <v>2</v>
      </c>
      <c r="M28" s="98"/>
    </row>
    <row r="29" spans="1:26" s="41" customFormat="1" ht="15">
      <c r="A29" s="95" t="s">
        <v>64</v>
      </c>
      <c r="B29" s="96"/>
      <c r="C29" s="97">
        <v>10</v>
      </c>
      <c r="D29" s="97"/>
      <c r="E29" s="97"/>
      <c r="F29" s="97"/>
      <c r="G29" s="97">
        <v>10</v>
      </c>
      <c r="H29" s="97"/>
      <c r="I29" s="97"/>
      <c r="J29" s="97"/>
      <c r="L29" s="98"/>
      <c r="M29" s="98"/>
    </row>
    <row r="30" spans="1:26" s="41" customFormat="1" ht="15">
      <c r="A30" s="95" t="s">
        <v>65</v>
      </c>
      <c r="B30" s="96"/>
      <c r="C30" s="97">
        <v>20</v>
      </c>
      <c r="D30" s="97"/>
      <c r="E30" s="97"/>
      <c r="F30" s="97"/>
      <c r="G30" s="97">
        <v>20</v>
      </c>
      <c r="H30" s="97"/>
      <c r="I30" s="97"/>
      <c r="J30" s="97"/>
      <c r="L30" s="98"/>
      <c r="M30" s="98"/>
    </row>
    <row r="31" spans="1:26" s="41" customFormat="1" ht="15">
      <c r="A31" s="95" t="s">
        <v>66</v>
      </c>
      <c r="B31" s="96"/>
      <c r="C31" s="97">
        <v>30</v>
      </c>
      <c r="D31" s="97"/>
      <c r="E31" s="97"/>
      <c r="F31" s="97"/>
      <c r="G31" s="97">
        <v>30</v>
      </c>
      <c r="H31" s="97"/>
      <c r="I31" s="97"/>
      <c r="J31" s="97"/>
      <c r="L31" s="98"/>
      <c r="M31" s="98"/>
    </row>
    <row r="32" spans="1:26" s="41" customFormat="1" ht="15">
      <c r="A32" s="95" t="s">
        <v>67</v>
      </c>
      <c r="B32" s="96"/>
      <c r="C32" s="103">
        <v>40</v>
      </c>
      <c r="D32" s="104"/>
      <c r="E32" s="104"/>
      <c r="F32" s="105"/>
      <c r="G32" s="103">
        <v>40</v>
      </c>
      <c r="H32" s="104"/>
      <c r="I32" s="104"/>
      <c r="J32" s="105"/>
      <c r="L32" s="98"/>
      <c r="M32" s="98"/>
    </row>
    <row r="33" spans="1:26" s="41" customFormat="1" ht="15">
      <c r="A33" s="95" t="s">
        <v>68</v>
      </c>
      <c r="B33" s="96"/>
      <c r="C33" s="97">
        <v>50</v>
      </c>
      <c r="D33" s="97"/>
      <c r="E33" s="97"/>
      <c r="F33" s="97"/>
      <c r="G33" s="97">
        <v>50</v>
      </c>
      <c r="H33" s="97"/>
      <c r="I33" s="97"/>
      <c r="J33" s="97"/>
      <c r="L33" s="98"/>
      <c r="M33" s="98"/>
    </row>
    <row r="34" spans="1:26" s="41" customFormat="1" ht="15">
      <c r="A34" s="95" t="s">
        <v>69</v>
      </c>
      <c r="B34" s="96"/>
      <c r="C34" s="97">
        <v>100</v>
      </c>
      <c r="D34" s="97"/>
      <c r="E34" s="97"/>
      <c r="F34" s="97"/>
      <c r="G34" s="97">
        <v>100</v>
      </c>
      <c r="H34" s="97"/>
      <c r="I34" s="97"/>
      <c r="J34" s="97"/>
      <c r="L34" s="98"/>
      <c r="M34" s="98"/>
    </row>
    <row r="35" spans="1:26" s="41" customFormat="1" ht="15">
      <c r="A35" s="95" t="s">
        <v>70</v>
      </c>
      <c r="B35" s="96"/>
      <c r="C35" s="97">
        <v>200</v>
      </c>
      <c r="D35" s="97"/>
      <c r="E35" s="97"/>
      <c r="F35" s="97"/>
      <c r="G35" s="97">
        <v>200</v>
      </c>
      <c r="H35" s="97"/>
      <c r="I35" s="97"/>
      <c r="J35" s="97"/>
      <c r="L35" s="98"/>
      <c r="M35" s="98"/>
    </row>
    <row r="36" spans="1:26" s="41" customFormat="1" ht="15">
      <c r="A36" s="95" t="s">
        <v>71</v>
      </c>
      <c r="B36" s="96"/>
      <c r="C36" s="103" t="s">
        <v>72</v>
      </c>
      <c r="D36" s="104"/>
      <c r="E36" s="104"/>
      <c r="F36" s="104"/>
      <c r="G36" s="104"/>
      <c r="H36" s="104"/>
      <c r="I36" s="104"/>
      <c r="J36" s="105"/>
      <c r="L36" s="98"/>
      <c r="M36" s="98"/>
    </row>
    <row r="37" spans="1:26" s="41" customFormat="1" ht="15">
      <c r="A37" s="42"/>
      <c r="L37" s="98"/>
      <c r="M37" s="98"/>
    </row>
    <row r="38" spans="1:26" s="41" customFormat="1" ht="15">
      <c r="A38" s="42"/>
      <c r="L38" s="98"/>
      <c r="M38" s="98"/>
    </row>
    <row r="39" spans="1:26" s="7" customFormat="1" ht="13.5">
      <c r="A39" s="8"/>
      <c r="L39" s="93"/>
      <c r="M39" s="93"/>
    </row>
    <row r="40" spans="1:26" s="7" customFormat="1" ht="13.5">
      <c r="A40" s="8"/>
      <c r="L40" s="93"/>
      <c r="M40" s="93"/>
    </row>
    <row r="41" spans="1:26" s="7" customFormat="1" ht="13.5">
      <c r="A41" s="8"/>
      <c r="L41" s="93"/>
      <c r="M41" s="93"/>
    </row>
    <row r="42" spans="1:26" s="41" customFormat="1" ht="19.25" customHeight="1">
      <c r="A42" s="43" t="s">
        <v>73</v>
      </c>
      <c r="B42" s="44" t="s">
        <v>74</v>
      </c>
      <c r="C42" s="106" t="s">
        <v>75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8"/>
      <c r="O42" s="109" t="s">
        <v>76</v>
      </c>
      <c r="P42" s="110"/>
      <c r="Q42" s="110"/>
      <c r="R42" s="110"/>
      <c r="S42" s="111"/>
      <c r="T42" s="109" t="s">
        <v>77</v>
      </c>
      <c r="U42" s="110"/>
      <c r="V42" s="110"/>
      <c r="W42" s="111"/>
      <c r="X42" s="110" t="s">
        <v>78</v>
      </c>
      <c r="Y42" s="110"/>
      <c r="Z42" s="111"/>
    </row>
    <row r="43" spans="1:26" s="7" customFormat="1" ht="16.5" customHeight="1">
      <c r="A43" s="118" t="s">
        <v>79</v>
      </c>
      <c r="B43" s="43" t="s">
        <v>80</v>
      </c>
      <c r="C43" s="115" t="s">
        <v>81</v>
      </c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7"/>
      <c r="O43" s="112" t="s">
        <v>82</v>
      </c>
      <c r="P43" s="113"/>
      <c r="Q43" s="113"/>
      <c r="R43" s="113"/>
      <c r="S43" s="114"/>
      <c r="T43" s="112" t="s">
        <v>83</v>
      </c>
      <c r="U43" s="113"/>
      <c r="V43" s="113"/>
      <c r="W43" s="114"/>
      <c r="X43" s="112">
        <v>1</v>
      </c>
      <c r="Y43" s="113"/>
      <c r="Z43" s="114"/>
    </row>
    <row r="44" spans="1:26" s="7" customFormat="1" ht="16.5" customHeight="1">
      <c r="A44" s="119"/>
      <c r="B44" s="43" t="s">
        <v>84</v>
      </c>
      <c r="C44" s="115" t="s">
        <v>85</v>
      </c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7"/>
      <c r="O44" s="112" t="s">
        <v>82</v>
      </c>
      <c r="P44" s="113"/>
      <c r="Q44" s="113"/>
      <c r="R44" s="113"/>
      <c r="S44" s="114"/>
      <c r="T44" s="112" t="s">
        <v>86</v>
      </c>
      <c r="U44" s="113"/>
      <c r="V44" s="113"/>
      <c r="W44" s="114"/>
      <c r="X44" s="112">
        <v>1</v>
      </c>
      <c r="Y44" s="113"/>
      <c r="Z44" s="114"/>
    </row>
    <row r="45" spans="1:26" s="7" customFormat="1" ht="16.5" customHeight="1">
      <c r="A45" s="119"/>
      <c r="B45" s="43" t="s">
        <v>87</v>
      </c>
      <c r="C45" s="115" t="s">
        <v>88</v>
      </c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7"/>
      <c r="O45" s="112" t="s">
        <v>89</v>
      </c>
      <c r="P45" s="113"/>
      <c r="Q45" s="113"/>
      <c r="R45" s="113"/>
      <c r="S45" s="114"/>
      <c r="T45" s="112" t="s">
        <v>90</v>
      </c>
      <c r="U45" s="113"/>
      <c r="V45" s="113"/>
      <c r="W45" s="114"/>
      <c r="X45" s="112">
        <v>6</v>
      </c>
      <c r="Y45" s="113"/>
      <c r="Z45" s="114"/>
    </row>
    <row r="46" spans="1:26" s="7" customFormat="1" ht="16.5" customHeight="1">
      <c r="A46" s="119"/>
      <c r="B46" s="43" t="s">
        <v>91</v>
      </c>
      <c r="C46" s="115" t="s">
        <v>92</v>
      </c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7"/>
      <c r="O46" s="112" t="s">
        <v>0</v>
      </c>
      <c r="P46" s="113"/>
      <c r="Q46" s="113"/>
      <c r="R46" s="113"/>
      <c r="S46" s="114"/>
      <c r="T46" s="112" t="s">
        <v>1</v>
      </c>
      <c r="U46" s="113"/>
      <c r="V46" s="113"/>
      <c r="W46" s="114"/>
      <c r="X46" s="112">
        <v>6</v>
      </c>
      <c r="Y46" s="113"/>
      <c r="Z46" s="114"/>
    </row>
    <row r="47" spans="1:26" s="7" customFormat="1" ht="16.5" customHeight="1">
      <c r="A47" s="120"/>
      <c r="B47" s="43" t="s">
        <v>93</v>
      </c>
      <c r="C47" s="115" t="s">
        <v>94</v>
      </c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7"/>
      <c r="O47" s="112" t="s">
        <v>0</v>
      </c>
      <c r="P47" s="113"/>
      <c r="Q47" s="113"/>
      <c r="R47" s="113"/>
      <c r="S47" s="114"/>
      <c r="T47" s="112" t="s">
        <v>95</v>
      </c>
      <c r="U47" s="113"/>
      <c r="V47" s="113"/>
      <c r="W47" s="114"/>
      <c r="X47" s="112">
        <v>6</v>
      </c>
      <c r="Y47" s="113"/>
      <c r="Z47" s="114"/>
    </row>
    <row r="48" spans="1:26" s="7" customFormat="1" ht="16.5" customHeight="1">
      <c r="A48" s="121" t="s">
        <v>96</v>
      </c>
      <c r="B48" s="43" t="s">
        <v>97</v>
      </c>
      <c r="C48" s="115" t="s">
        <v>98</v>
      </c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7"/>
      <c r="O48" s="112" t="s">
        <v>99</v>
      </c>
      <c r="P48" s="113"/>
      <c r="Q48" s="113"/>
      <c r="R48" s="113"/>
      <c r="S48" s="114"/>
      <c r="T48" s="112" t="s">
        <v>38</v>
      </c>
      <c r="U48" s="113"/>
      <c r="V48" s="113"/>
      <c r="W48" s="114"/>
      <c r="X48" s="112">
        <v>2</v>
      </c>
      <c r="Y48" s="113"/>
      <c r="Z48" s="114"/>
    </row>
    <row r="49" spans="1:26" s="7" customFormat="1" ht="16.5" customHeight="1">
      <c r="A49" s="122"/>
      <c r="B49" s="43" t="s">
        <v>100</v>
      </c>
      <c r="C49" s="115" t="s">
        <v>101</v>
      </c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7"/>
      <c r="O49" s="112" t="s">
        <v>102</v>
      </c>
      <c r="P49" s="113"/>
      <c r="Q49" s="113"/>
      <c r="R49" s="113"/>
      <c r="S49" s="114"/>
      <c r="T49" s="112" t="s">
        <v>103</v>
      </c>
      <c r="U49" s="113"/>
      <c r="V49" s="113"/>
      <c r="W49" s="114"/>
      <c r="X49" s="112">
        <v>1</v>
      </c>
      <c r="Y49" s="113"/>
      <c r="Z49" s="114"/>
    </row>
    <row r="50" spans="1:26" s="7" customFormat="1" ht="16.5" customHeight="1">
      <c r="A50" s="121" t="s">
        <v>104</v>
      </c>
      <c r="B50" s="43" t="s">
        <v>105</v>
      </c>
      <c r="C50" s="115" t="s">
        <v>106</v>
      </c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7"/>
      <c r="O50" s="112" t="s">
        <v>107</v>
      </c>
      <c r="P50" s="113"/>
      <c r="Q50" s="113"/>
      <c r="R50" s="113"/>
      <c r="S50" s="114"/>
      <c r="T50" s="112" t="s">
        <v>108</v>
      </c>
      <c r="U50" s="113"/>
      <c r="V50" s="113"/>
      <c r="W50" s="114"/>
      <c r="X50" s="112">
        <v>1</v>
      </c>
      <c r="Y50" s="113"/>
      <c r="Z50" s="114"/>
    </row>
    <row r="51" spans="1:26" s="7" customFormat="1" ht="16.5" customHeight="1">
      <c r="A51" s="123"/>
      <c r="B51" s="43" t="s">
        <v>109</v>
      </c>
      <c r="C51" s="115" t="s">
        <v>110</v>
      </c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7"/>
      <c r="O51" s="112" t="s">
        <v>107</v>
      </c>
      <c r="P51" s="113"/>
      <c r="Q51" s="113"/>
      <c r="R51" s="113"/>
      <c r="S51" s="114"/>
      <c r="T51" s="112" t="s">
        <v>111</v>
      </c>
      <c r="U51" s="113"/>
      <c r="V51" s="113"/>
      <c r="W51" s="114"/>
      <c r="X51" s="112">
        <v>4</v>
      </c>
      <c r="Y51" s="113"/>
      <c r="Z51" s="114"/>
    </row>
    <row r="52" spans="1:26" s="7" customFormat="1" ht="16.5" customHeight="1">
      <c r="A52" s="123"/>
      <c r="B52" s="43" t="s">
        <v>112</v>
      </c>
      <c r="C52" s="115" t="s">
        <v>113</v>
      </c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7"/>
      <c r="O52" s="112" t="s">
        <v>82</v>
      </c>
      <c r="P52" s="113"/>
      <c r="Q52" s="113"/>
      <c r="R52" s="113"/>
      <c r="S52" s="114"/>
      <c r="T52" s="112" t="s">
        <v>114</v>
      </c>
      <c r="U52" s="113"/>
      <c r="V52" s="113"/>
      <c r="W52" s="114"/>
      <c r="X52" s="112">
        <v>1</v>
      </c>
      <c r="Y52" s="113"/>
      <c r="Z52" s="114"/>
    </row>
    <row r="53" spans="1:26" s="7" customFormat="1" ht="16.5" customHeight="1">
      <c r="A53" s="122"/>
      <c r="B53" s="43" t="s">
        <v>115</v>
      </c>
      <c r="C53" s="115" t="s">
        <v>116</v>
      </c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7"/>
      <c r="O53" s="112" t="s">
        <v>82</v>
      </c>
      <c r="P53" s="113"/>
      <c r="Q53" s="113"/>
      <c r="R53" s="113"/>
      <c r="S53" s="114"/>
      <c r="T53" s="112" t="s">
        <v>117</v>
      </c>
      <c r="U53" s="113"/>
      <c r="V53" s="113"/>
      <c r="W53" s="114"/>
      <c r="X53" s="112">
        <v>1</v>
      </c>
      <c r="Y53" s="113"/>
      <c r="Z53" s="114"/>
    </row>
    <row r="54" spans="1:26" s="7" customFormat="1" ht="16.5" customHeight="1">
      <c r="A54" s="124" t="s">
        <v>118</v>
      </c>
      <c r="B54" s="43" t="s">
        <v>119</v>
      </c>
      <c r="C54" s="115" t="s">
        <v>120</v>
      </c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7"/>
      <c r="O54" s="112" t="s">
        <v>121</v>
      </c>
      <c r="P54" s="113"/>
      <c r="Q54" s="113"/>
      <c r="R54" s="113"/>
      <c r="S54" s="114"/>
      <c r="T54" s="112" t="s">
        <v>122</v>
      </c>
      <c r="U54" s="113"/>
      <c r="V54" s="113"/>
      <c r="W54" s="114"/>
      <c r="X54" s="112">
        <v>1</v>
      </c>
      <c r="Y54" s="113"/>
      <c r="Z54" s="114"/>
    </row>
    <row r="55" spans="1:26" s="7" customFormat="1" ht="16.5" customHeight="1">
      <c r="A55" s="125"/>
      <c r="B55" s="43" t="s">
        <v>123</v>
      </c>
      <c r="C55" s="115" t="s">
        <v>124</v>
      </c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7"/>
      <c r="O55" s="112" t="s">
        <v>107</v>
      </c>
      <c r="P55" s="113"/>
      <c r="Q55" s="113"/>
      <c r="R55" s="113"/>
      <c r="S55" s="114"/>
      <c r="T55" s="112" t="s">
        <v>125</v>
      </c>
      <c r="U55" s="113"/>
      <c r="V55" s="113"/>
      <c r="W55" s="114"/>
      <c r="X55" s="112">
        <v>2</v>
      </c>
      <c r="Y55" s="113"/>
      <c r="Z55" s="114"/>
    </row>
    <row r="56" spans="1:26" s="7" customFormat="1" ht="16.5" customHeight="1">
      <c r="A56" s="125"/>
      <c r="B56" s="43" t="s">
        <v>126</v>
      </c>
      <c r="C56" s="115" t="s">
        <v>127</v>
      </c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7"/>
      <c r="O56" s="112" t="s">
        <v>107</v>
      </c>
      <c r="P56" s="113"/>
      <c r="Q56" s="113"/>
      <c r="R56" s="113"/>
      <c r="S56" s="114"/>
      <c r="T56" s="112" t="s">
        <v>128</v>
      </c>
      <c r="U56" s="113"/>
      <c r="V56" s="113"/>
      <c r="W56" s="114"/>
      <c r="X56" s="112">
        <v>2</v>
      </c>
      <c r="Y56" s="113"/>
      <c r="Z56" s="114"/>
    </row>
    <row r="57" spans="1:26" s="7" customFormat="1" ht="16.5" customHeight="1">
      <c r="A57" s="125"/>
      <c r="B57" s="43" t="s">
        <v>129</v>
      </c>
      <c r="C57" s="115" t="s">
        <v>130</v>
      </c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7"/>
      <c r="O57" s="112" t="s">
        <v>107</v>
      </c>
      <c r="P57" s="113"/>
      <c r="Q57" s="113"/>
      <c r="R57" s="113"/>
      <c r="S57" s="114"/>
      <c r="T57" s="112" t="s">
        <v>131</v>
      </c>
      <c r="U57" s="113"/>
      <c r="V57" s="113"/>
      <c r="W57" s="114"/>
      <c r="X57" s="112">
        <v>2</v>
      </c>
      <c r="Y57" s="113"/>
      <c r="Z57" s="114"/>
    </row>
    <row r="58" spans="1:26" s="7" customFormat="1" ht="16.5" customHeight="1">
      <c r="A58" s="126"/>
      <c r="B58" s="43" t="s">
        <v>132</v>
      </c>
      <c r="C58" s="115" t="s">
        <v>133</v>
      </c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7"/>
      <c r="O58" s="112" t="s">
        <v>107</v>
      </c>
      <c r="P58" s="113"/>
      <c r="Q58" s="113"/>
      <c r="R58" s="113"/>
      <c r="S58" s="114"/>
      <c r="T58" s="112" t="s">
        <v>134</v>
      </c>
      <c r="U58" s="113"/>
      <c r="V58" s="113"/>
      <c r="W58" s="114"/>
      <c r="X58" s="112">
        <v>22</v>
      </c>
      <c r="Y58" s="113"/>
      <c r="Z58" s="114"/>
    </row>
    <row r="59" spans="1:26" s="7" customFormat="1" ht="16.5" customHeight="1">
      <c r="A59" s="45" t="s">
        <v>135</v>
      </c>
      <c r="B59" s="43" t="s">
        <v>136</v>
      </c>
      <c r="C59" s="115" t="s">
        <v>137</v>
      </c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7"/>
      <c r="O59" s="112" t="s">
        <v>107</v>
      </c>
      <c r="P59" s="113"/>
      <c r="Q59" s="113"/>
      <c r="R59" s="113"/>
      <c r="S59" s="114"/>
      <c r="T59" s="112" t="s">
        <v>138</v>
      </c>
      <c r="U59" s="113"/>
      <c r="V59" s="113"/>
      <c r="W59" s="114"/>
      <c r="X59" s="112">
        <v>8</v>
      </c>
      <c r="Y59" s="113"/>
      <c r="Z59" s="114"/>
    </row>
    <row r="60" spans="1:26" s="7" customFormat="1" ht="16.5" customHeight="1">
      <c r="A60" s="45" t="s">
        <v>139</v>
      </c>
      <c r="B60" s="43" t="s">
        <v>140</v>
      </c>
      <c r="C60" s="115" t="s">
        <v>92</v>
      </c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7"/>
      <c r="O60" s="112" t="s">
        <v>82</v>
      </c>
      <c r="P60" s="113"/>
      <c r="Q60" s="113"/>
      <c r="R60" s="113"/>
      <c r="S60" s="114"/>
      <c r="T60" s="112" t="s">
        <v>141</v>
      </c>
      <c r="U60" s="113"/>
      <c r="V60" s="113"/>
      <c r="W60" s="114"/>
      <c r="X60" s="112">
        <v>1</v>
      </c>
      <c r="Y60" s="113"/>
      <c r="Z60" s="114"/>
    </row>
    <row r="61" spans="1:26" s="7" customFormat="1" ht="16.5" customHeight="1">
      <c r="A61" s="127" t="s">
        <v>142</v>
      </c>
      <c r="B61" s="43" t="s">
        <v>143</v>
      </c>
      <c r="C61" s="115" t="s">
        <v>124</v>
      </c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7"/>
      <c r="O61" s="112" t="s">
        <v>107</v>
      </c>
      <c r="P61" s="113"/>
      <c r="Q61" s="113"/>
      <c r="R61" s="113"/>
      <c r="S61" s="114"/>
      <c r="T61" s="112" t="s">
        <v>125</v>
      </c>
      <c r="U61" s="113"/>
      <c r="V61" s="113"/>
      <c r="W61" s="114"/>
      <c r="X61" s="112">
        <v>2</v>
      </c>
      <c r="Y61" s="113"/>
      <c r="Z61" s="114"/>
    </row>
    <row r="62" spans="1:26" s="7" customFormat="1" ht="16.5" customHeight="1">
      <c r="A62" s="128"/>
      <c r="B62" s="43" t="s">
        <v>144</v>
      </c>
      <c r="C62" s="115" t="s">
        <v>145</v>
      </c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7"/>
      <c r="O62" s="112" t="s">
        <v>107</v>
      </c>
      <c r="P62" s="113"/>
      <c r="Q62" s="113"/>
      <c r="R62" s="113"/>
      <c r="S62" s="114"/>
      <c r="T62" s="112" t="s">
        <v>146</v>
      </c>
      <c r="U62" s="113"/>
      <c r="V62" s="113"/>
      <c r="W62" s="114"/>
      <c r="X62" s="112">
        <v>1</v>
      </c>
      <c r="Y62" s="113"/>
      <c r="Z62" s="114"/>
    </row>
    <row r="63" spans="1:26" s="7" customFormat="1" ht="16.5" customHeight="1">
      <c r="A63" s="45" t="s">
        <v>147</v>
      </c>
      <c r="B63" s="43" t="s">
        <v>148</v>
      </c>
      <c r="C63" s="115" t="s">
        <v>94</v>
      </c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7"/>
      <c r="O63" s="112" t="s">
        <v>0</v>
      </c>
      <c r="P63" s="113"/>
      <c r="Q63" s="113"/>
      <c r="R63" s="113"/>
      <c r="S63" s="114"/>
      <c r="T63" s="112" t="s">
        <v>95</v>
      </c>
      <c r="U63" s="113"/>
      <c r="V63" s="113"/>
      <c r="W63" s="114"/>
      <c r="X63" s="112">
        <v>1</v>
      </c>
      <c r="Y63" s="113"/>
      <c r="Z63" s="114"/>
    </row>
    <row r="64" spans="1:26" s="7" customFormat="1" ht="16.5" customHeight="1">
      <c r="A64" s="45" t="s">
        <v>149</v>
      </c>
      <c r="B64" s="43" t="s">
        <v>150</v>
      </c>
      <c r="C64" s="115" t="s">
        <v>120</v>
      </c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7"/>
      <c r="O64" s="112" t="s">
        <v>121</v>
      </c>
      <c r="P64" s="113"/>
      <c r="Q64" s="113"/>
      <c r="R64" s="113"/>
      <c r="S64" s="114"/>
      <c r="T64" s="112" t="s">
        <v>122</v>
      </c>
      <c r="U64" s="113"/>
      <c r="V64" s="113"/>
      <c r="W64" s="114"/>
      <c r="X64" s="112">
        <v>1</v>
      </c>
      <c r="Y64" s="113"/>
      <c r="Z64" s="114"/>
    </row>
    <row r="65" spans="1:26" s="7" customFormat="1" ht="16.5" customHeight="1">
      <c r="A65" s="45" t="s">
        <v>151</v>
      </c>
      <c r="B65" s="43" t="s">
        <v>152</v>
      </c>
      <c r="C65" s="115" t="s">
        <v>81</v>
      </c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7"/>
      <c r="O65" s="112" t="s">
        <v>82</v>
      </c>
      <c r="P65" s="113"/>
      <c r="Q65" s="113"/>
      <c r="R65" s="113"/>
      <c r="S65" s="114"/>
      <c r="T65" s="112" t="s">
        <v>153</v>
      </c>
      <c r="U65" s="113"/>
      <c r="V65" s="113"/>
      <c r="W65" s="114"/>
      <c r="X65" s="112">
        <v>1</v>
      </c>
      <c r="Y65" s="113"/>
      <c r="Z65" s="114"/>
    </row>
    <row r="66" spans="1:26" s="7" customFormat="1" ht="16.5" customHeight="1">
      <c r="A66" s="45" t="s">
        <v>154</v>
      </c>
      <c r="B66" s="43" t="s">
        <v>155</v>
      </c>
      <c r="C66" s="115" t="s">
        <v>113</v>
      </c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7"/>
      <c r="O66" s="112" t="s">
        <v>82</v>
      </c>
      <c r="P66" s="113"/>
      <c r="Q66" s="113"/>
      <c r="R66" s="113"/>
      <c r="S66" s="114"/>
      <c r="T66" s="112" t="s">
        <v>114</v>
      </c>
      <c r="U66" s="113"/>
      <c r="V66" s="113"/>
      <c r="W66" s="114"/>
      <c r="X66" s="112">
        <v>1</v>
      </c>
      <c r="Y66" s="113"/>
      <c r="Z66" s="114"/>
    </row>
    <row r="67" spans="1:26" s="7" customFormat="1" ht="16.5" customHeight="1">
      <c r="A67" s="45" t="s">
        <v>156</v>
      </c>
      <c r="B67" s="43" t="s">
        <v>157</v>
      </c>
      <c r="C67" s="115" t="s">
        <v>158</v>
      </c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7"/>
      <c r="O67" s="112" t="s">
        <v>0</v>
      </c>
      <c r="P67" s="113"/>
      <c r="Q67" s="113"/>
      <c r="R67" s="113"/>
      <c r="S67" s="114"/>
      <c r="T67" s="112" t="s">
        <v>1</v>
      </c>
      <c r="U67" s="113"/>
      <c r="V67" s="113"/>
      <c r="W67" s="114"/>
      <c r="X67" s="112">
        <v>6</v>
      </c>
      <c r="Y67" s="113"/>
      <c r="Z67" s="114"/>
    </row>
    <row r="68" spans="1:26" s="7" customFormat="1" ht="16.5" customHeight="1">
      <c r="A68" s="43">
        <v>13</v>
      </c>
      <c r="B68" s="43" t="s">
        <v>159</v>
      </c>
      <c r="C68" s="129" t="s">
        <v>160</v>
      </c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1"/>
      <c r="O68" s="132" t="s">
        <v>82</v>
      </c>
      <c r="P68" s="133"/>
      <c r="Q68" s="133"/>
      <c r="R68" s="133"/>
      <c r="S68" s="134"/>
      <c r="T68" s="112" t="s">
        <v>83</v>
      </c>
      <c r="U68" s="113"/>
      <c r="V68" s="113"/>
      <c r="W68" s="114"/>
      <c r="X68" s="112">
        <v>1</v>
      </c>
      <c r="Y68" s="113"/>
      <c r="Z68" s="114"/>
    </row>
    <row r="69" spans="1:26" s="7" customFormat="1" ht="16.5" customHeight="1">
      <c r="A69" s="43" t="s">
        <v>2</v>
      </c>
      <c r="B69" s="43" t="s">
        <v>161</v>
      </c>
      <c r="C69" s="129" t="s">
        <v>162</v>
      </c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1"/>
      <c r="O69" s="132" t="s">
        <v>82</v>
      </c>
      <c r="P69" s="133"/>
      <c r="Q69" s="133"/>
      <c r="R69" s="133"/>
      <c r="S69" s="134"/>
      <c r="T69" s="112" t="s">
        <v>86</v>
      </c>
      <c r="U69" s="113"/>
      <c r="V69" s="113"/>
      <c r="W69" s="114"/>
      <c r="X69" s="112">
        <v>1</v>
      </c>
      <c r="Y69" s="113"/>
      <c r="Z69" s="114"/>
    </row>
    <row r="70" spans="1:26" s="7" customFormat="1" ht="16.5" customHeight="1">
      <c r="A70" s="43" t="s">
        <v>2</v>
      </c>
      <c r="B70" s="43" t="s">
        <v>163</v>
      </c>
      <c r="C70" s="129" t="s">
        <v>164</v>
      </c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1"/>
      <c r="O70" s="132" t="s">
        <v>89</v>
      </c>
      <c r="P70" s="133"/>
      <c r="Q70" s="133"/>
      <c r="R70" s="133"/>
      <c r="S70" s="134"/>
      <c r="T70" s="112" t="s">
        <v>90</v>
      </c>
      <c r="U70" s="113"/>
      <c r="V70" s="113"/>
      <c r="W70" s="114"/>
      <c r="X70" s="112">
        <v>6</v>
      </c>
      <c r="Y70" s="113"/>
      <c r="Z70" s="114"/>
    </row>
    <row r="71" spans="1:26" s="7" customFormat="1" ht="16.5" customHeight="1">
      <c r="A71" s="43" t="s">
        <v>2</v>
      </c>
      <c r="B71" s="43" t="s">
        <v>165</v>
      </c>
      <c r="C71" s="129" t="s">
        <v>23</v>
      </c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1"/>
      <c r="O71" s="132" t="s">
        <v>0</v>
      </c>
      <c r="P71" s="133"/>
      <c r="Q71" s="133"/>
      <c r="R71" s="133"/>
      <c r="S71" s="134"/>
      <c r="T71" s="112" t="s">
        <v>1</v>
      </c>
      <c r="U71" s="113"/>
      <c r="V71" s="113"/>
      <c r="W71" s="114"/>
      <c r="X71" s="112">
        <v>6</v>
      </c>
      <c r="Y71" s="113"/>
      <c r="Z71" s="114"/>
    </row>
    <row r="72" spans="1:26" s="7" customFormat="1" ht="16.5" customHeight="1">
      <c r="A72" s="43" t="s">
        <v>2</v>
      </c>
      <c r="B72" s="43" t="s">
        <v>166</v>
      </c>
      <c r="C72" s="129" t="s">
        <v>167</v>
      </c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1"/>
      <c r="O72" s="132" t="s">
        <v>0</v>
      </c>
      <c r="P72" s="133"/>
      <c r="Q72" s="133"/>
      <c r="R72" s="133"/>
      <c r="S72" s="134"/>
      <c r="T72" s="112" t="s">
        <v>95</v>
      </c>
      <c r="U72" s="113"/>
      <c r="V72" s="113"/>
      <c r="W72" s="114"/>
      <c r="X72" s="112">
        <v>6</v>
      </c>
      <c r="Y72" s="113"/>
      <c r="Z72" s="114"/>
    </row>
    <row r="73" spans="1:26" s="7" customFormat="1" ht="16.5" customHeight="1">
      <c r="A73" s="43">
        <v>14</v>
      </c>
      <c r="B73" s="10" t="s">
        <v>168</v>
      </c>
      <c r="C73" s="129" t="s">
        <v>169</v>
      </c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4"/>
      <c r="O73" s="132" t="s">
        <v>107</v>
      </c>
      <c r="P73" s="133"/>
      <c r="Q73" s="133"/>
      <c r="R73" s="133"/>
      <c r="S73" s="134"/>
      <c r="T73" s="112" t="s">
        <v>108</v>
      </c>
      <c r="U73" s="113"/>
      <c r="V73" s="113"/>
      <c r="W73" s="114"/>
      <c r="X73" s="135">
        <v>1</v>
      </c>
      <c r="Y73" s="136"/>
      <c r="Z73" s="137"/>
    </row>
    <row r="74" spans="1:26" s="7" customFormat="1" ht="16.5" customHeight="1">
      <c r="A74" s="43" t="s">
        <v>2</v>
      </c>
      <c r="B74" s="10" t="s">
        <v>170</v>
      </c>
      <c r="C74" s="129" t="s">
        <v>171</v>
      </c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4"/>
      <c r="O74" s="132" t="s">
        <v>107</v>
      </c>
      <c r="P74" s="133"/>
      <c r="Q74" s="133"/>
      <c r="R74" s="133"/>
      <c r="S74" s="134"/>
      <c r="T74" s="112" t="s">
        <v>111</v>
      </c>
      <c r="U74" s="113"/>
      <c r="V74" s="113"/>
      <c r="W74" s="114"/>
      <c r="X74" s="135">
        <v>4</v>
      </c>
      <c r="Y74" s="136"/>
      <c r="Z74" s="137"/>
    </row>
    <row r="75" spans="1:26" s="7" customFormat="1" ht="16.5" customHeight="1">
      <c r="A75" s="43" t="s">
        <v>2</v>
      </c>
      <c r="B75" s="10" t="s">
        <v>172</v>
      </c>
      <c r="C75" s="129" t="s">
        <v>173</v>
      </c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4"/>
      <c r="O75" s="132" t="s">
        <v>82</v>
      </c>
      <c r="P75" s="133"/>
      <c r="Q75" s="133"/>
      <c r="R75" s="133"/>
      <c r="S75" s="134"/>
      <c r="T75" s="112" t="s">
        <v>114</v>
      </c>
      <c r="U75" s="113"/>
      <c r="V75" s="113"/>
      <c r="W75" s="114"/>
      <c r="X75" s="135">
        <v>1</v>
      </c>
      <c r="Y75" s="136"/>
      <c r="Z75" s="137"/>
    </row>
    <row r="76" spans="1:26" s="7" customFormat="1" ht="16.5" customHeight="1">
      <c r="A76" s="43" t="s">
        <v>2</v>
      </c>
      <c r="B76" s="10" t="s">
        <v>174</v>
      </c>
      <c r="C76" s="129" t="s">
        <v>175</v>
      </c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4"/>
      <c r="O76" s="132" t="s">
        <v>82</v>
      </c>
      <c r="P76" s="133"/>
      <c r="Q76" s="133"/>
      <c r="R76" s="133"/>
      <c r="S76" s="134"/>
      <c r="T76" s="112" t="s">
        <v>117</v>
      </c>
      <c r="U76" s="113"/>
      <c r="V76" s="113"/>
      <c r="W76" s="114"/>
      <c r="X76" s="135">
        <v>1</v>
      </c>
      <c r="Y76" s="136"/>
      <c r="Z76" s="137"/>
    </row>
    <row r="77" spans="1:26" s="7" customFormat="1" ht="16.5" customHeight="1">
      <c r="A77" s="43">
        <v>15</v>
      </c>
      <c r="B77" s="43" t="s">
        <v>176</v>
      </c>
      <c r="C77" s="129" t="s">
        <v>177</v>
      </c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4"/>
      <c r="O77" s="112" t="s">
        <v>121</v>
      </c>
      <c r="P77" s="113"/>
      <c r="Q77" s="113"/>
      <c r="R77" s="113"/>
      <c r="S77" s="114"/>
      <c r="T77" s="112" t="s">
        <v>122</v>
      </c>
      <c r="U77" s="113"/>
      <c r="V77" s="113"/>
      <c r="W77" s="114"/>
      <c r="X77" s="112">
        <v>1</v>
      </c>
      <c r="Y77" s="113"/>
      <c r="Z77" s="114"/>
    </row>
    <row r="78" spans="1:26" s="7" customFormat="1" ht="16.5" customHeight="1">
      <c r="A78" s="43" t="s">
        <v>2</v>
      </c>
      <c r="B78" s="43" t="s">
        <v>178</v>
      </c>
      <c r="C78" s="129" t="s">
        <v>179</v>
      </c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4"/>
      <c r="O78" s="132" t="s">
        <v>107</v>
      </c>
      <c r="P78" s="133"/>
      <c r="Q78" s="133"/>
      <c r="R78" s="133"/>
      <c r="S78" s="134"/>
      <c r="T78" s="112" t="s">
        <v>125</v>
      </c>
      <c r="U78" s="113"/>
      <c r="V78" s="113"/>
      <c r="W78" s="114"/>
      <c r="X78" s="112">
        <v>2</v>
      </c>
      <c r="Y78" s="113"/>
      <c r="Z78" s="114"/>
    </row>
    <row r="79" spans="1:26" s="7" customFormat="1" ht="16.5" customHeight="1">
      <c r="A79" s="43" t="s">
        <v>2</v>
      </c>
      <c r="B79" s="43" t="s">
        <v>180</v>
      </c>
      <c r="C79" s="129" t="s">
        <v>181</v>
      </c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4"/>
      <c r="O79" s="132" t="s">
        <v>107</v>
      </c>
      <c r="P79" s="133"/>
      <c r="Q79" s="133"/>
      <c r="R79" s="133"/>
      <c r="S79" s="134"/>
      <c r="T79" s="112" t="s">
        <v>128</v>
      </c>
      <c r="U79" s="113"/>
      <c r="V79" s="113"/>
      <c r="W79" s="114"/>
      <c r="X79" s="112">
        <v>2</v>
      </c>
      <c r="Y79" s="113"/>
      <c r="Z79" s="114"/>
    </row>
    <row r="80" spans="1:26" s="7" customFormat="1" ht="16.5" customHeight="1">
      <c r="A80" s="43" t="s">
        <v>2</v>
      </c>
      <c r="B80" s="43" t="s">
        <v>182</v>
      </c>
      <c r="C80" s="129" t="s">
        <v>183</v>
      </c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4"/>
      <c r="O80" s="132" t="s">
        <v>107</v>
      </c>
      <c r="P80" s="133"/>
      <c r="Q80" s="133"/>
      <c r="R80" s="133"/>
      <c r="S80" s="134"/>
      <c r="T80" s="112" t="s">
        <v>131</v>
      </c>
      <c r="U80" s="113"/>
      <c r="V80" s="113"/>
      <c r="W80" s="114"/>
      <c r="X80" s="112">
        <v>2</v>
      </c>
      <c r="Y80" s="113"/>
      <c r="Z80" s="114"/>
    </row>
    <row r="81" spans="1:26" s="7" customFormat="1" ht="16.5" customHeight="1">
      <c r="A81" s="43" t="s">
        <v>2</v>
      </c>
      <c r="B81" s="43" t="s">
        <v>184</v>
      </c>
      <c r="C81" s="129" t="s">
        <v>185</v>
      </c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4"/>
      <c r="O81" s="132" t="s">
        <v>107</v>
      </c>
      <c r="P81" s="133"/>
      <c r="Q81" s="133"/>
      <c r="R81" s="133"/>
      <c r="S81" s="134"/>
      <c r="T81" s="112" t="s">
        <v>134</v>
      </c>
      <c r="U81" s="113"/>
      <c r="V81" s="113"/>
      <c r="W81" s="114"/>
      <c r="X81" s="112">
        <v>2</v>
      </c>
      <c r="Y81" s="113"/>
      <c r="Z81" s="114"/>
    </row>
    <row r="82" spans="1:26" s="7" customFormat="1" ht="20.350000000000001" customHeight="1">
      <c r="A82" s="8" t="s">
        <v>2</v>
      </c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spans="1:26" ht="15.75">
      <c r="A83" s="46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</sheetData>
  <mergeCells count="270">
    <mergeCell ref="C81:N81"/>
    <mergeCell ref="O81:S81"/>
    <mergeCell ref="T81:W81"/>
    <mergeCell ref="X81:Z81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A61:A62"/>
    <mergeCell ref="C61:N61"/>
    <mergeCell ref="O61:S61"/>
    <mergeCell ref="T61:W61"/>
    <mergeCell ref="X61:Z61"/>
    <mergeCell ref="C62:N62"/>
    <mergeCell ref="O62:S62"/>
    <mergeCell ref="T62:W62"/>
    <mergeCell ref="X62:Z62"/>
    <mergeCell ref="C60:N60"/>
    <mergeCell ref="O60:S60"/>
    <mergeCell ref="T60:W60"/>
    <mergeCell ref="X60:Z60"/>
    <mergeCell ref="C57:N57"/>
    <mergeCell ref="O57:S57"/>
    <mergeCell ref="T57:W57"/>
    <mergeCell ref="X57:Z57"/>
    <mergeCell ref="C58:N58"/>
    <mergeCell ref="O58:S58"/>
    <mergeCell ref="T58:W58"/>
    <mergeCell ref="X58:Z58"/>
    <mergeCell ref="T56:W56"/>
    <mergeCell ref="X56:Z56"/>
    <mergeCell ref="C53:N53"/>
    <mergeCell ref="O53:S53"/>
    <mergeCell ref="T53:W53"/>
    <mergeCell ref="X53:Z53"/>
    <mergeCell ref="C59:N59"/>
    <mergeCell ref="O59:S59"/>
    <mergeCell ref="T59:W59"/>
    <mergeCell ref="X59:Z59"/>
    <mergeCell ref="A50:A53"/>
    <mergeCell ref="C50:N50"/>
    <mergeCell ref="O50:S50"/>
    <mergeCell ref="T50:W50"/>
    <mergeCell ref="X50:Z50"/>
    <mergeCell ref="C51:N51"/>
    <mergeCell ref="O51:S51"/>
    <mergeCell ref="A54:A58"/>
    <mergeCell ref="C54:N54"/>
    <mergeCell ref="O54:S54"/>
    <mergeCell ref="T54:W54"/>
    <mergeCell ref="X54:Z54"/>
    <mergeCell ref="C55:N55"/>
    <mergeCell ref="T51:W51"/>
    <mergeCell ref="X51:Z51"/>
    <mergeCell ref="C52:N52"/>
    <mergeCell ref="O52:S52"/>
    <mergeCell ref="T52:W52"/>
    <mergeCell ref="X52:Z52"/>
    <mergeCell ref="O55:S55"/>
    <mergeCell ref="T55:W55"/>
    <mergeCell ref="X55:Z55"/>
    <mergeCell ref="C56:N56"/>
    <mergeCell ref="O56:S56"/>
    <mergeCell ref="A48:A49"/>
    <mergeCell ref="C48:N48"/>
    <mergeCell ref="O48:S48"/>
    <mergeCell ref="T48:W48"/>
    <mergeCell ref="X48:Z48"/>
    <mergeCell ref="C49:N49"/>
    <mergeCell ref="O49:S49"/>
    <mergeCell ref="T49:W49"/>
    <mergeCell ref="X49:Z49"/>
    <mergeCell ref="O45:S45"/>
    <mergeCell ref="T45:W45"/>
    <mergeCell ref="X45:Z45"/>
    <mergeCell ref="C46:N46"/>
    <mergeCell ref="O46:S46"/>
    <mergeCell ref="T46:W46"/>
    <mergeCell ref="X46:Z46"/>
    <mergeCell ref="A43:A47"/>
    <mergeCell ref="C43:N43"/>
    <mergeCell ref="O43:S43"/>
    <mergeCell ref="T43:W43"/>
    <mergeCell ref="X43:Z43"/>
    <mergeCell ref="C44:N44"/>
    <mergeCell ref="O44:S44"/>
    <mergeCell ref="T44:W44"/>
    <mergeCell ref="X44:Z44"/>
    <mergeCell ref="C45:N45"/>
    <mergeCell ref="C47:N47"/>
    <mergeCell ref="O47:S47"/>
    <mergeCell ref="T47:W47"/>
    <mergeCell ref="X47:Z47"/>
    <mergeCell ref="L40:M40"/>
    <mergeCell ref="L41:M41"/>
    <mergeCell ref="C42:N42"/>
    <mergeCell ref="O42:S42"/>
    <mergeCell ref="T42:W42"/>
    <mergeCell ref="X42:Z42"/>
    <mergeCell ref="A36:B36"/>
    <mergeCell ref="C36:J36"/>
    <mergeCell ref="L36:M36"/>
    <mergeCell ref="L37:M37"/>
    <mergeCell ref="L38:M38"/>
    <mergeCell ref="L39:M39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C25:H25"/>
    <mergeCell ref="I25:N25"/>
    <mergeCell ref="O25:T25"/>
    <mergeCell ref="U25:Z25"/>
    <mergeCell ref="C26:F26"/>
    <mergeCell ref="A27:J27"/>
    <mergeCell ref="C23:H23"/>
    <mergeCell ref="I23:N23"/>
    <mergeCell ref="O23:T23"/>
    <mergeCell ref="U23:Z23"/>
    <mergeCell ref="C24:H24"/>
    <mergeCell ref="I24:N24"/>
    <mergeCell ref="O24:T24"/>
    <mergeCell ref="U24:Z24"/>
    <mergeCell ref="C22:H22"/>
    <mergeCell ref="I22:N22"/>
    <mergeCell ref="O22:T22"/>
    <mergeCell ref="U22:Z22"/>
    <mergeCell ref="I19:N19"/>
    <mergeCell ref="O19:T19"/>
    <mergeCell ref="U19:Z19"/>
    <mergeCell ref="C20:H20"/>
    <mergeCell ref="I20:N20"/>
    <mergeCell ref="O20:T20"/>
    <mergeCell ref="U20:Z20"/>
    <mergeCell ref="A17:A21"/>
    <mergeCell ref="C17:H17"/>
    <mergeCell ref="I17:N17"/>
    <mergeCell ref="O17:T17"/>
    <mergeCell ref="U17:Z17"/>
    <mergeCell ref="C18:H18"/>
    <mergeCell ref="I18:N18"/>
    <mergeCell ref="O18:T18"/>
    <mergeCell ref="U18:Z18"/>
    <mergeCell ref="C19:H19"/>
    <mergeCell ref="C21:H21"/>
    <mergeCell ref="I21:N21"/>
    <mergeCell ref="O21:T21"/>
    <mergeCell ref="U21:Z21"/>
    <mergeCell ref="O14:T15"/>
    <mergeCell ref="U14:Z15"/>
    <mergeCell ref="C16:H16"/>
    <mergeCell ref="I16:N16"/>
    <mergeCell ref="O16:T16"/>
    <mergeCell ref="U16:Z16"/>
    <mergeCell ref="G11:J11"/>
    <mergeCell ref="G12:J12"/>
    <mergeCell ref="A14:A15"/>
    <mergeCell ref="B14:B15"/>
    <mergeCell ref="C14:H15"/>
    <mergeCell ref="I14:N15"/>
    <mergeCell ref="A1:V5"/>
    <mergeCell ref="A6:Z6"/>
    <mergeCell ref="A7:B7"/>
    <mergeCell ref="G7:K7"/>
    <mergeCell ref="G8:J8"/>
    <mergeCell ref="A9:B9"/>
    <mergeCell ref="G9:J9"/>
    <mergeCell ref="S11:V12"/>
    <mergeCell ref="D10:F10"/>
    <mergeCell ref="G10:J10"/>
  </mergeCells>
  <pageMargins left="0.7" right="0.7" top="0.75" bottom="0.75" header="0.3" footer="0.3"/>
  <pageSetup scale="7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ใบงาน Electrolux</vt:lpstr>
      <vt:lpstr>A2-QC ถุง</vt:lpstr>
      <vt:lpstr>'ใบงาน Electrolux'!Print_Area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Yada Sirimanuwat</cp:lastModifiedBy>
  <cp:lastPrinted>2026-08-03T02:25:39Z</cp:lastPrinted>
  <dcterms:created xsi:type="dcterms:W3CDTF">2022-12-02T03:16:26Z</dcterms:created>
  <dcterms:modified xsi:type="dcterms:W3CDTF">2026-08-06T01:31:46Z</dcterms:modified>
</cp:coreProperties>
</file>