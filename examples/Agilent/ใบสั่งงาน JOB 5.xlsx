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F60DBC58-4456-4ED6-BA86-FA26AE4C79DC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Agilent_JOB 5" sheetId="4" r:id="rId1"/>
    <sheet name="A2-QCถุง" sheetId="7" r:id="rId2"/>
    <sheet name="P2-QCกล่อง" sheetId="5" r:id="rId3"/>
  </sheets>
  <definedNames>
    <definedName name="_xlnm.Print_Area" localSheetId="0">'ใบงาน Agilent_JOB 5'!$A$1:$O$37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W7" i="7" l="1"/>
  <c r="G7" i="5"/>
  <c r="W7" i="5"/>
  <c r="B10" i="5"/>
  <c r="X8" i="5"/>
  <c r="B10" i="7"/>
  <c r="G7" i="7"/>
  <c r="B8" i="5"/>
  <c r="G8" i="5"/>
  <c r="G8" i="7"/>
  <c r="F30" i="4"/>
  <c r="D22" i="4"/>
  <c r="D21" i="4"/>
  <c r="E17" i="4" l="1"/>
  <c r="G17" i="4" s="1"/>
  <c r="H17" i="4" s="1"/>
</calcChain>
</file>

<file path=xl/sharedStrings.xml><?xml version="1.0" encoding="utf-8"?>
<sst xmlns="http://schemas.openxmlformats.org/spreadsheetml/2006/main" count="356" uniqueCount="228">
  <si>
    <t>ABW00018</t>
  </si>
  <si>
    <t>+5.00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</si>
  <si>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</si>
  <si>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</si>
  <si>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</si>
  <si>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</si>
  <si>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</si>
  <si>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</si>
  <si>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</si>
  <si>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</si>
  <si>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</si>
  <si>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</si>
  <si>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</si>
  <si>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</si>
  <si>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</si>
  <si>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</si>
  <si>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</si>
  <si>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</si>
  <si>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</si>
  <si>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</si>
  <si>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</si>
  <si>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</si>
  <si>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</si>
  <si>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</si>
  <si>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</si>
  <si>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</si>
  <si>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100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</si>
  <si>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</si>
  <si>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</si>
  <si>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</si>
  <si>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</si>
  <si>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</si>
  <si>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</si>
  <si>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</si>
  <si>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</si>
  <si>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</si>
  <si>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</si>
  <si>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>กล่องพลาสติคใส่สายยางพร้อมฝาปิดกันฝุ่น</t>
  </si>
  <si>
    <t>1 เส้น</t>
  </si>
  <si>
    <t>P-95802-13</t>
  </si>
  <si>
    <t>JOB 5</t>
  </si>
  <si>
    <t>K9801-60091</t>
  </si>
  <si>
    <t>Tubing, Waste Bottles (2L and 4 L)</t>
  </si>
  <si>
    <t>ABW00018/K9801-60091</t>
  </si>
  <si>
    <t>1 กล่อง</t>
  </si>
  <si>
    <t>OD/ID: 7/16"(11.1125mm) 1/4"(6.3500mm)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</si>
  <si>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</si>
  <si>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</si>
  <si>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</si>
  <si>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</si>
  <si>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</si>
  <si>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</si>
  <si>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1 อัน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</si>
  <si>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</si>
  <si>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</si>
  <si>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</si>
  <si>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</si>
  <si>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</si>
  <si>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จำนวนที่ตรวจสอบความยาวของสายยาง (MM)</t>
  </si>
  <si>
    <t>ในกรณีใช้สายยางไม่เต็มม้วน จะต้องนำไปใช้งานต่อสำหรับ JOB อื่นๆ</t>
  </si>
  <si>
    <t>609.6-614.6</t>
  </si>
  <si>
    <t>การตรวจสอบคุณภาพก่อนบรรจุ  / QC in process</t>
  </si>
  <si>
    <t>จำนวนสายยางที่ตัดได้(เส้น)</t>
  </si>
  <si>
    <t>ถุงพลาสติค XL</t>
  </si>
  <si>
    <t>10x15 นิ้ว</t>
  </si>
  <si>
    <t>Copy to sticker</t>
  </si>
  <si>
    <t>AGA</t>
  </si>
  <si>
    <t>MPN:</t>
  </si>
  <si>
    <t>Children PN:</t>
  </si>
  <si>
    <t>K9801-60092</t>
  </si>
  <si>
    <t>Customer PO</t>
  </si>
  <si>
    <t>QR CODE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</si>
  <si>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</si>
  <si>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>เอกสารตรวจสอบผลิตภัณฑ์ QC (Quality Control) สำหรับบรรจุ</t>
  </si>
  <si>
    <t>Lot no</t>
  </si>
  <si>
    <t>MPN</t>
  </si>
  <si>
    <t>Children no.</t>
  </si>
  <si>
    <t>จำนวนกล่อง</t>
  </si>
  <si>
    <t>BAR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</si>
  <si>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</si>
  <si>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</si>
  <si>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</si>
  <si>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</si>
  <si>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</si>
  <si>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</si>
  <si>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</si>
  <si>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</si>
  <si>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</si>
  <si>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ความสะอาดความสายยางภายในกล่อง</t>
  </si>
  <si>
    <t>เมื่อ scan QR code ข้อมูลถูกต้อง</t>
  </si>
  <si>
    <t xml:space="preserve">เอกสารตรวจสอบผลิตภัณฑ์ QC (Quality Control) </t>
  </si>
  <si>
    <t>จำนวนถุงที่ผลิต</t>
  </si>
  <si>
    <t>ความถูกต้องของความยาวของสายยางว่าอยู่ภายในระยะที่กำหนด (ตามรายละเอียดแนบ)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</si>
  <si>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</si>
  <si>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</si>
  <si>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</si>
  <si>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</si>
  <si>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</si>
  <si>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</si>
  <si>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</si>
  <si>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</si>
  <si>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</si>
  <si>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</si>
  <si>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</si>
  <si>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</si>
  <si>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</si>
  <si>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</si>
  <si>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</si>
  <si>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</si>
  <si>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</si>
  <si>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</si>
  <si>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</si>
  <si>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</si>
  <si>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</si>
  <si>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</si>
  <si>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</si>
  <si>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</si>
  <si>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</si>
  <si>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</si>
  <si>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</si>
  <si>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</si>
  <si>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</si>
  <si>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</si>
  <si>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</si>
  <si>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</si>
  <si>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</si>
  <si>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</si>
  <si>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</si>
  <si>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</si>
  <si>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</si>
  <si>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</si>
  <si>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</si>
  <si>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</si>
  <si>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</si>
  <si>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</si>
  <si>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</si>
  <si>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</si>
  <si>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</si>
  <si>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</si>
  <si>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</si>
  <si>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</si>
  <si>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</si>
  <si>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</si>
  <si>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</si>
  <si>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</si>
  <si>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</si>
  <si>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</si>
  <si>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</si>
  <si>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</si>
  <si>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</si>
  <si>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</si>
  <si>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</si>
  <si>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</si>
  <si>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</si>
  <si>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</si>
  <si>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</si>
  <si>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</si>
  <si>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</si>
  <si>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</si>
  <si>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</si>
  <si>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</si>
  <si>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</si>
  <si>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</si>
  <si>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</si>
  <si>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</si>
  <si>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</si>
  <si>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</si>
  <si>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</si>
  <si>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</si>
  <si>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</si>
  <si>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</si>
  <si>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</si>
  <si>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</si>
  <si>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</si>
  <si>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</si>
  <si>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</si>
  <si>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</si>
  <si>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</si>
  <si>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</si>
  <si>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</si>
  <si>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</si>
  <si>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</si>
  <si>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</si>
  <si>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</si>
  <si>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</si>
  <si>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</si>
  <si>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</si>
  <si>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</si>
  <si>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</si>
  <si>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</si>
  <si>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</si>
  <si>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</si>
  <si>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</si>
  <si>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</si>
  <si>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</si>
  <si>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</si>
  <si>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</si>
  <si>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</si>
  <si>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</si>
  <si>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</si>
  <si>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</si>
  <si>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</si>
  <si>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</si>
  <si>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</si>
  <si>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</si>
  <si>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</si>
  <si>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</si>
  <si>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</si>
  <si>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</si>
  <si>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</si>
  <si>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</si>
  <si>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</si>
  <si>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</si>
  <si>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</si>
  <si>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</si>
  <si>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</si>
  <si>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</si>
  <si>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</si>
  <si>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</si>
  <si>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</si>
  <si>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</si>
  <si>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</si>
  <si>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</si>
  <si>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-</t>
  </si>
  <si>
    <t>PO12345</t>
  </si>
  <si>
    <t>CUSTOMER PO</t>
  </si>
  <si>
    <t>xxx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</si>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</sst>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9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10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7" fillId="2" borderId="1" xfId="0" quotePrefix="1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164" fontId="7" fillId="4" borderId="1" xfId="0" applyNumberFormat="1" applyFont="1" applyFill="1" applyBorder="1" applyAlignment="1">
      <alignment vertical="center"/>
    </xf>
    <xf numFmtId="0" fontId="7" fillId="0" borderId="7" xfId="0" applyFont="1" applyBorder="1"/>
    <xf numFmtId="0" fontId="7" fillId="5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7" fillId="5" borderId="0" xfId="0" applyFont="1" applyFill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2" xfId="0" applyFont="1" applyBorder="1" applyAlignment="1">
      <alignment horizontal="right" vertical="center"/>
    </xf>
    <xf numFmtId="0" fontId="13" fillId="7" borderId="7" xfId="0" applyFont="1" applyFill="1" applyBorder="1"/>
    <xf numFmtId="0" fontId="13" fillId="7" borderId="7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 applyAlignment="1">
      <alignment horizontal="center"/>
    </xf>
    <xf numFmtId="0" fontId="15" fillId="0" borderId="0" xfId="0" applyFont="1"/>
    <xf numFmtId="0" fontId="19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9" fillId="0" borderId="13" xfId="0" applyFont="1" applyBorder="1" applyAlignment="1">
      <alignment horizontal="left" vertical="center" wrapText="1"/>
    </xf>
    <xf numFmtId="0" fontId="19" fillId="0" borderId="0" xfId="0" applyFont="1"/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/>
    </xf>
    <xf numFmtId="0" fontId="20" fillId="0" borderId="0" xfId="0" applyFont="1"/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0" applyFont="1"/>
    <xf numFmtId="0" fontId="0" fillId="0" borderId="0" xfId="0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/>
    <xf numFmtId="0" fontId="14" fillId="2" borderId="0" xfId="0" applyFont="1" applyFill="1" applyAlignment="1">
      <alignment horizontal="left" vertical="center"/>
    </xf>
    <xf numFmtId="165" fontId="7" fillId="7" borderId="0" xfId="3" applyNumberFormat="1" applyFont="1" applyFill="1"/>
    <xf numFmtId="165" fontId="7" fillId="7" borderId="0" xfId="3" applyNumberFormat="1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4" fillId="0" borderId="12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7" fillId="2" borderId="7" xfId="0" applyFont="1" applyFill="1" applyBorder="1"/>
    <xf numFmtId="0" fontId="10" fillId="0" borderId="0" xfId="0" applyFont="1" applyAlignment="1">
      <alignment horizontal="center" vertical="top" wrapText="1"/>
    </xf>
    <xf numFmtId="0" fontId="12" fillId="6" borderId="0" xfId="0" applyFont="1" applyFill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24" fillId="0" borderId="12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right" vertical="center" wrapText="1"/>
    </xf>
    <xf numFmtId="0" fontId="24" fillId="0" borderId="3" xfId="0" applyFont="1" applyBorder="1" applyAlignment="1">
      <alignment horizontal="right" vertical="center" wrapText="1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right" vertical="center" wrapText="1"/>
    </xf>
    <xf numFmtId="0" fontId="24" fillId="0" borderId="2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top" wrapText="1"/>
    </xf>
    <xf numFmtId="0" fontId="7" fillId="2" borderId="12" xfId="0" quotePrefix="1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2" fillId="2" borderId="12" xfId="0" applyFont="1" applyFill="1" applyBorder="1" applyAlignment="1">
      <alignment horizontal="center" vertical="center" wrapText="1"/>
    </xf>
    <xf numFmtId="0" fontId="22" fillId="2" borderId="14" xfId="0" applyFont="1" applyFill="1" applyBorder="1" applyAlignment="1">
      <alignment horizontal="center" vertical="center" wrapText="1"/>
    </xf>
    <xf numFmtId="0" fontId="22" fillId="2" borderId="13" xfId="0" applyFont="1" applyFill="1" applyBorder="1" applyAlignment="1">
      <alignment horizontal="center" vertical="center" wrapText="1"/>
    </xf>
    <xf numFmtId="0" fontId="7" fillId="2" borderId="14" xfId="0" quotePrefix="1" applyFont="1" applyFill="1" applyBorder="1" applyAlignment="1">
      <alignment horizontal="center"/>
    </xf>
    <xf numFmtId="0" fontId="7" fillId="2" borderId="13" xfId="0" quotePrefix="1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top" wrapText="1"/>
    </xf>
    <xf numFmtId="0" fontId="14" fillId="2" borderId="6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5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2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0" fontId="7" fillId="0" borderId="12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20" fillId="0" borderId="12" xfId="0" applyFont="1" applyBorder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0" fillId="0" borderId="12" xfId="0" applyFont="1" applyBorder="1" applyAlignment="1">
      <alignment horizontal="center" wrapText="1"/>
    </xf>
    <xf numFmtId="0" fontId="20" fillId="0" borderId="14" xfId="0" applyFont="1" applyBorder="1" applyAlignment="1">
      <alignment horizontal="center" wrapText="1"/>
    </xf>
    <xf numFmtId="0" fontId="20" fillId="0" borderId="13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2" borderId="7" xfId="0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14" fontId="13" fillId="7" borderId="7" xfId="0" applyNumberFormat="1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19050</xdr:rowOff>
    </xdr:from>
    <xdr:to>
      <xdr:col>14</xdr:col>
      <xdr:colOff>609600</xdr:colOff>
      <xdr:row>1</xdr:row>
      <xdr:rowOff>149225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639E8F8-3241-4D00-B999-D23AF2430DF0}"/>
            </a:ext>
          </a:extLst>
        </xdr:cNvPr>
        <xdr:cNvSpPr txBox="1"/>
      </xdr:nvSpPr>
      <xdr:spPr>
        <a:xfrm>
          <a:off x="11744325" y="171450"/>
          <a:ext cx="59055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361950</xdr:colOff>
      <xdr:row>0</xdr:row>
      <xdr:rowOff>95250</xdr:rowOff>
    </xdr:from>
    <xdr:to>
      <xdr:col>1</xdr:col>
      <xdr:colOff>993775</xdr:colOff>
      <xdr:row>4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BB36C1-630E-4F0E-B662-8047015AA99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975" y="247650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464A4-B897-4616-A33C-6DDDB5651B2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CC32B74-3B46-4081-B52E-227580E15691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D672B8-D87C-4B26-9267-3E686E1C069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3500792-965E-487C-87E7-48E2C7599A81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E3C47-8979-4546-AA6A-8B92B3E92E60}">
  <dimension ref="A1:O60"/>
  <sheetViews>
    <sheetView tabSelected="1" zoomScaleNormal="100" workbookViewId="0">
      <selection activeCell="B7" sqref="B7"/>
    </sheetView>
  </sheetViews>
  <sheetFormatPr defaultColWidth="8.6640625" defaultRowHeight="11.4"/>
  <cols>
    <col min="1" max="1" width="8.6640625" style="2"/>
    <col min="2" max="2" width="21.33203125" style="1" customWidth="1"/>
    <col min="3" max="3" width="26.6640625" style="1" customWidth="1"/>
    <col min="4" max="4" width="12.6640625" style="2" customWidth="1"/>
    <col min="5" max="5" width="14.88671875" style="2" hidden="1" customWidth="1"/>
    <col min="6" max="6" width="12.6640625" style="2" customWidth="1"/>
    <col min="7" max="7" width="14.6640625" style="1" customWidth="1"/>
    <col min="8" max="8" width="9.6640625" style="1" customWidth="1"/>
    <col min="9" max="9" width="12.6640625" style="1" customWidth="1"/>
    <col min="10" max="10" width="12.6640625" style="2" customWidth="1"/>
    <col min="11" max="11" width="14.6640625" style="1" customWidth="1"/>
    <col min="12" max="12" width="8.6640625" style="1" customWidth="1"/>
    <col min="13" max="13" width="8.6640625" style="2" customWidth="1"/>
    <col min="14" max="14" width="12.6640625" style="1" customWidth="1"/>
    <col min="15" max="15" width="13.6640625" style="1" customWidth="1"/>
    <col min="16" max="16384" width="8.6640625" style="1"/>
  </cols>
  <sheetData>
    <row r="1" spans="1:15" ht="23.25" customHeight="1">
      <c r="A1" s="77" t="s">
        <v>48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5" ht="12" customHeight="1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pans="1:15" ht="12" customHeight="1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</row>
    <row r="4" spans="1:15" ht="12" customHeight="1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</row>
    <row r="5" spans="1:15" ht="12" customHeight="1">
      <c r="A5" s="77"/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</row>
    <row r="6" spans="1:15" ht="22.8">
      <c r="A6" s="4" t="s">
        <v>34</v>
      </c>
      <c r="K6" s="5"/>
      <c r="M6" s="5"/>
      <c r="N6" s="5"/>
      <c r="O6" s="5" t="s">
        <v>40</v>
      </c>
    </row>
    <row r="7" spans="1:15" s="6" customFormat="1" ht="21" customHeight="1">
      <c r="A7" s="7" t="s">
        <v>4</v>
      </c>
      <c r="B7" s="198">
        <v>46242</v>
      </c>
      <c r="C7" s="33"/>
      <c r="D7" s="7" t="s">
        <v>49</v>
      </c>
      <c r="E7" s="7"/>
      <c r="F7" s="44" t="s">
        <v>227</v>
      </c>
      <c r="G7" s="44"/>
      <c r="J7" s="7"/>
      <c r="K7" s="6" t="s">
        <v>50</v>
      </c>
      <c r="L7" s="33" t="s">
        <v>66</v>
      </c>
      <c r="M7" s="45" t="s">
        <v>226</v>
      </c>
      <c r="N7" s="43"/>
      <c r="O7" s="7"/>
    </row>
    <row r="8" spans="1:15" s="6" customFormat="1" ht="21" customHeight="1">
      <c r="A8" s="7" t="s">
        <v>6</v>
      </c>
      <c r="B8" s="6" t="s">
        <v>36</v>
      </c>
      <c r="D8" s="7" t="s">
        <v>67</v>
      </c>
      <c r="E8" s="7"/>
      <c r="F8" s="66" t="s">
        <v>41</v>
      </c>
      <c r="J8" s="7"/>
      <c r="K8" s="6" t="s">
        <v>11</v>
      </c>
      <c r="M8" s="67">
        <v>2000</v>
      </c>
      <c r="N8" s="68" t="s">
        <v>3</v>
      </c>
      <c r="O8" s="7"/>
    </row>
    <row r="9" spans="1:15" s="6" customFormat="1" ht="21" customHeight="1">
      <c r="A9" s="7" t="s">
        <v>5</v>
      </c>
      <c r="B9" s="6" t="s">
        <v>35</v>
      </c>
      <c r="D9" s="6" t="s">
        <v>68</v>
      </c>
      <c r="E9" s="7"/>
      <c r="F9" s="66" t="s">
        <v>223</v>
      </c>
      <c r="J9" s="7"/>
      <c r="K9" s="7" t="s">
        <v>70</v>
      </c>
      <c r="M9" s="46" t="s">
        <v>224</v>
      </c>
      <c r="N9" s="46" t="s">
        <v>3</v>
      </c>
      <c r="O9" s="7"/>
    </row>
    <row r="10" spans="1:15" s="15" customFormat="1" ht="21" customHeight="1">
      <c r="A10" s="14"/>
      <c r="D10" s="14"/>
      <c r="E10" s="14"/>
      <c r="F10" s="14"/>
      <c r="J10" s="14"/>
      <c r="M10" s="14"/>
    </row>
    <row r="11" spans="1:15" s="15" customFormat="1" ht="21" customHeight="1">
      <c r="A11" s="14"/>
      <c r="B11" s="35" t="s">
        <v>0</v>
      </c>
      <c r="C11" s="35" t="s">
        <v>45</v>
      </c>
      <c r="D11" s="36"/>
      <c r="E11" s="14"/>
      <c r="F11" s="14"/>
      <c r="J11" s="14"/>
    </row>
    <row r="12" spans="1:15" s="6" customFormat="1" ht="21" customHeight="1">
      <c r="A12" s="7"/>
      <c r="B12" s="6" t="s">
        <v>71</v>
      </c>
      <c r="C12" t="s">
        <v>3</v>
      </c>
      <c r="D12" s="7"/>
      <c r="E12" s="7"/>
      <c r="F12" s="7"/>
      <c r="J12" s="7"/>
      <c r="K12" s="7"/>
      <c r="L12" s="14"/>
      <c r="M12" s="14"/>
      <c r="N12" s="14"/>
      <c r="O12" s="14"/>
    </row>
    <row r="13" spans="1:15" s="15" customFormat="1" ht="21" customHeight="1">
      <c r="A13" s="16" t="s">
        <v>29</v>
      </c>
      <c r="D13" s="14"/>
      <c r="E13" s="14"/>
      <c r="F13" s="14"/>
      <c r="J13" s="14"/>
      <c r="K13" s="6"/>
      <c r="M13" s="14"/>
    </row>
    <row r="14" spans="1:15" s="15" customFormat="1" ht="21" customHeight="1">
      <c r="A14" s="14"/>
      <c r="D14" s="14"/>
      <c r="E14" s="14"/>
      <c r="F14" s="14"/>
      <c r="J14" s="14"/>
      <c r="K14" s="6"/>
      <c r="M14" s="14"/>
    </row>
    <row r="15" spans="1:15" s="72" customFormat="1" ht="21" customHeight="1">
      <c r="A15" s="102" t="s">
        <v>15</v>
      </c>
      <c r="B15" s="104" t="s">
        <v>14</v>
      </c>
      <c r="C15" s="102" t="s">
        <v>13</v>
      </c>
      <c r="D15" s="102" t="s">
        <v>12</v>
      </c>
      <c r="E15" s="106" t="s">
        <v>32</v>
      </c>
      <c r="F15" s="108" t="s">
        <v>33</v>
      </c>
      <c r="G15" s="79" t="s">
        <v>32</v>
      </c>
      <c r="H15" s="100" t="s">
        <v>31</v>
      </c>
      <c r="J15" s="73"/>
    </row>
    <row r="16" spans="1:15" s="72" customFormat="1" ht="33" customHeight="1">
      <c r="A16" s="102"/>
      <c r="B16" s="105"/>
      <c r="C16" s="102"/>
      <c r="D16" s="102"/>
      <c r="E16" s="107"/>
      <c r="F16" s="109"/>
      <c r="G16" s="99"/>
      <c r="H16" s="101"/>
      <c r="J16" s="73"/>
    </row>
    <row r="17" spans="1:15" s="15" customFormat="1" ht="21" customHeight="1">
      <c r="A17" s="13">
        <v>1</v>
      </c>
      <c r="B17" s="37" t="s">
        <v>7</v>
      </c>
      <c r="C17" s="38" t="s">
        <v>0</v>
      </c>
      <c r="D17" s="34">
        <v>8</v>
      </c>
      <c r="E17" s="20">
        <f>D17*M8*(J44+I44)</f>
        <v>9833600</v>
      </c>
      <c r="F17" s="9">
        <v>50</v>
      </c>
      <c r="G17" s="32">
        <f>E17</f>
        <v>9833600</v>
      </c>
      <c r="H17" s="32">
        <f>G17*0.00328/F17</f>
        <v>645.08416</v>
      </c>
      <c r="K17" s="78" t="s">
        <v>65</v>
      </c>
    </row>
    <row r="18" spans="1:15" s="15" customFormat="1" ht="21" customHeight="1">
      <c r="A18" s="10">
        <v>2</v>
      </c>
      <c r="B18" s="21" t="s">
        <v>30</v>
      </c>
      <c r="C18" s="21"/>
      <c r="D18" s="10"/>
      <c r="E18" s="10"/>
      <c r="F18" s="10"/>
      <c r="G18" s="21"/>
      <c r="H18" s="21"/>
      <c r="J18" s="14"/>
      <c r="K18" s="78"/>
      <c r="M18" s="14"/>
    </row>
    <row r="19" spans="1:15" s="15" customFormat="1" ht="21" customHeight="1">
      <c r="A19" s="10">
        <v>3</v>
      </c>
      <c r="B19" s="21" t="s">
        <v>37</v>
      </c>
      <c r="C19" s="21"/>
      <c r="D19" s="10" t="s">
        <v>44</v>
      </c>
      <c r="E19" s="10"/>
      <c r="F19" s="10"/>
      <c r="G19" s="21"/>
      <c r="H19" s="21"/>
      <c r="J19" s="14"/>
      <c r="K19" s="6"/>
      <c r="M19" s="14"/>
    </row>
    <row r="20" spans="1:15" s="15" customFormat="1" ht="21" customHeight="1">
      <c r="A20" s="10">
        <v>4</v>
      </c>
      <c r="B20" s="92" t="s">
        <v>46</v>
      </c>
      <c r="C20" s="93"/>
      <c r="D20" s="10" t="s">
        <v>47</v>
      </c>
      <c r="E20" s="10"/>
      <c r="F20" s="10"/>
      <c r="G20" s="21"/>
      <c r="H20" s="21"/>
      <c r="J20" s="14"/>
      <c r="K20" s="6"/>
      <c r="M20" s="14"/>
    </row>
    <row r="21" spans="1:15" s="15" customFormat="1" ht="21" customHeight="1">
      <c r="A21" s="10">
        <v>5</v>
      </c>
      <c r="B21" s="38" t="s">
        <v>63</v>
      </c>
      <c r="C21" s="34" t="s">
        <v>64</v>
      </c>
      <c r="D21" s="10">
        <f>M8</f>
        <v>2000</v>
      </c>
      <c r="E21" s="10"/>
      <c r="F21" s="10"/>
      <c r="G21" s="21"/>
      <c r="H21" s="21"/>
      <c r="J21" s="14"/>
      <c r="K21" s="6"/>
      <c r="M21" s="14"/>
    </row>
    <row r="22" spans="1:15" s="15" customFormat="1" ht="21" customHeight="1">
      <c r="A22" s="10">
        <v>6</v>
      </c>
      <c r="B22" s="21" t="s">
        <v>9</v>
      </c>
      <c r="C22" s="10" t="s">
        <v>10</v>
      </c>
      <c r="D22" s="10">
        <f>M8</f>
        <v>2000</v>
      </c>
      <c r="E22" s="10"/>
      <c r="F22" s="10"/>
      <c r="G22" s="21"/>
      <c r="H22" s="21"/>
      <c r="J22" s="14"/>
      <c r="K22" s="6"/>
      <c r="M22" s="14"/>
    </row>
    <row r="23" spans="1:15" s="15" customFormat="1" ht="21" customHeight="1">
      <c r="A23" s="10">
        <v>7</v>
      </c>
      <c r="B23" s="21" t="s">
        <v>25</v>
      </c>
      <c r="C23" s="10" t="s">
        <v>26</v>
      </c>
      <c r="D23" s="10" t="s">
        <v>52</v>
      </c>
      <c r="E23" s="10"/>
      <c r="F23" s="10"/>
      <c r="G23" s="21"/>
      <c r="H23" s="21"/>
      <c r="J23" s="14"/>
      <c r="K23" s="6"/>
      <c r="M23" s="14"/>
    </row>
    <row r="24" spans="1:15" s="15" customFormat="1" ht="21" customHeight="1">
      <c r="A24" s="10">
        <v>8</v>
      </c>
      <c r="B24" s="21" t="s">
        <v>53</v>
      </c>
      <c r="C24" s="21"/>
      <c r="D24" s="10"/>
      <c r="E24" s="10"/>
      <c r="F24" s="10"/>
      <c r="G24" s="21"/>
      <c r="H24" s="21"/>
      <c r="J24" s="14"/>
      <c r="K24" s="39"/>
      <c r="L24" s="40"/>
    </row>
    <row r="25" spans="1:15" s="15" customFormat="1" ht="21" customHeight="1">
      <c r="A25" s="14"/>
      <c r="D25" s="14"/>
      <c r="E25" s="14"/>
      <c r="F25" s="14"/>
      <c r="J25" s="14"/>
      <c r="M25" s="14"/>
    </row>
    <row r="26" spans="1:15" s="15" customFormat="1" ht="21" customHeight="1">
      <c r="A26" s="3" t="s">
        <v>61</v>
      </c>
      <c r="D26" s="14"/>
      <c r="E26" s="14"/>
      <c r="F26" s="14"/>
      <c r="I26" s="35" t="s">
        <v>59</v>
      </c>
      <c r="J26" s="36"/>
      <c r="K26" s="35"/>
      <c r="L26" s="35"/>
      <c r="M26" s="36"/>
      <c r="N26" s="35"/>
    </row>
    <row r="27" spans="1:15" s="15" customFormat="1" ht="21" customHeight="1">
      <c r="A27" s="14"/>
      <c r="D27" s="14"/>
      <c r="E27" s="14"/>
      <c r="F27" s="14"/>
      <c r="J27" s="14"/>
      <c r="M27" s="14"/>
    </row>
    <row r="28" spans="1:15" s="72" customFormat="1" ht="28.95" customHeight="1">
      <c r="A28" s="102" t="s">
        <v>15</v>
      </c>
      <c r="B28" s="102" t="s">
        <v>14</v>
      </c>
      <c r="C28" s="102" t="s">
        <v>13</v>
      </c>
      <c r="D28" s="102" t="s">
        <v>12</v>
      </c>
      <c r="E28" s="70"/>
      <c r="F28" s="103" t="s">
        <v>62</v>
      </c>
      <c r="G28" s="79" t="s">
        <v>54</v>
      </c>
      <c r="H28" s="79"/>
      <c r="I28" s="79"/>
      <c r="J28" s="94"/>
      <c r="K28" s="79" t="s">
        <v>58</v>
      </c>
      <c r="L28" s="79"/>
      <c r="M28" s="79"/>
      <c r="N28" s="79" t="s">
        <v>51</v>
      </c>
      <c r="O28" s="75"/>
    </row>
    <row r="29" spans="1:15" s="72" customFormat="1" ht="28.95" customHeight="1">
      <c r="A29" s="102"/>
      <c r="B29" s="102"/>
      <c r="C29" s="102"/>
      <c r="D29" s="102"/>
      <c r="E29" s="70"/>
      <c r="F29" s="103"/>
      <c r="G29" s="71" t="s">
        <v>55</v>
      </c>
      <c r="H29" s="71" t="s">
        <v>56</v>
      </c>
      <c r="I29" s="71" t="s">
        <v>57</v>
      </c>
      <c r="J29" s="74" t="s">
        <v>51</v>
      </c>
      <c r="K29" s="70" t="s">
        <v>24</v>
      </c>
      <c r="L29" s="71" t="s">
        <v>21</v>
      </c>
      <c r="M29" s="71" t="s">
        <v>22</v>
      </c>
      <c r="N29" s="79"/>
    </row>
    <row r="30" spans="1:15" s="15" customFormat="1" ht="21" customHeight="1">
      <c r="A30" s="96">
        <v>5</v>
      </c>
      <c r="B30" s="80" t="s">
        <v>42</v>
      </c>
      <c r="C30" s="83" t="s">
        <v>43</v>
      </c>
      <c r="D30" s="89">
        <v>8</v>
      </c>
      <c r="E30" s="9"/>
      <c r="F30" s="86">
        <f>M8*D30</f>
        <v>16000</v>
      </c>
      <c r="G30" s="41"/>
      <c r="H30" s="41"/>
      <c r="I30" s="41"/>
      <c r="J30" s="42"/>
      <c r="K30" s="95" t="s">
        <v>60</v>
      </c>
      <c r="L30" s="9"/>
      <c r="M30" s="21"/>
      <c r="N30" s="21"/>
    </row>
    <row r="31" spans="1:15" s="15" customFormat="1" ht="21" customHeight="1">
      <c r="A31" s="97"/>
      <c r="B31" s="81"/>
      <c r="C31" s="84"/>
      <c r="D31" s="90"/>
      <c r="E31" s="21"/>
      <c r="F31" s="87"/>
      <c r="G31" s="41"/>
      <c r="H31" s="41"/>
      <c r="I31" s="41"/>
      <c r="J31" s="42"/>
      <c r="K31" s="95"/>
      <c r="L31" s="10"/>
      <c r="M31" s="21"/>
      <c r="N31" s="21"/>
    </row>
    <row r="32" spans="1:15" s="15" customFormat="1" ht="21" customHeight="1">
      <c r="A32" s="97"/>
      <c r="B32" s="81"/>
      <c r="C32" s="84"/>
      <c r="D32" s="90"/>
      <c r="E32" s="10"/>
      <c r="F32" s="87"/>
      <c r="G32" s="41"/>
      <c r="H32" s="41"/>
      <c r="I32" s="41"/>
      <c r="J32" s="42"/>
      <c r="K32" s="95"/>
      <c r="L32" s="21"/>
      <c r="M32" s="21"/>
      <c r="N32" s="21"/>
    </row>
    <row r="33" spans="1:14" s="15" customFormat="1" ht="21" customHeight="1">
      <c r="A33" s="97"/>
      <c r="B33" s="81"/>
      <c r="C33" s="84"/>
      <c r="D33" s="90"/>
      <c r="E33" s="10"/>
      <c r="F33" s="87"/>
      <c r="G33" s="41"/>
      <c r="H33" s="41"/>
      <c r="I33" s="41"/>
      <c r="J33" s="42"/>
      <c r="K33" s="95"/>
      <c r="L33" s="21"/>
      <c r="M33" s="21"/>
      <c r="N33" s="21"/>
    </row>
    <row r="34" spans="1:14" s="15" customFormat="1" ht="21" customHeight="1">
      <c r="A34" s="97"/>
      <c r="B34" s="81"/>
      <c r="C34" s="84"/>
      <c r="D34" s="90"/>
      <c r="E34" s="10"/>
      <c r="F34" s="87"/>
      <c r="G34" s="41"/>
      <c r="H34" s="41"/>
      <c r="I34" s="41"/>
      <c r="J34" s="42"/>
      <c r="K34" s="95"/>
      <c r="L34" s="21"/>
      <c r="M34" s="21"/>
      <c r="N34" s="21"/>
    </row>
    <row r="35" spans="1:14" s="15" customFormat="1" ht="21" customHeight="1">
      <c r="A35" s="97"/>
      <c r="B35" s="81"/>
      <c r="C35" s="84"/>
      <c r="D35" s="90"/>
      <c r="E35" s="10"/>
      <c r="F35" s="87"/>
      <c r="G35" s="41"/>
      <c r="H35" s="41"/>
      <c r="I35" s="41"/>
      <c r="J35" s="42"/>
      <c r="K35" s="95"/>
      <c r="L35" s="21"/>
      <c r="M35" s="21"/>
      <c r="N35" s="21"/>
    </row>
    <row r="36" spans="1:14" s="15" customFormat="1" ht="21" customHeight="1">
      <c r="A36" s="97"/>
      <c r="B36" s="81"/>
      <c r="C36" s="84"/>
      <c r="D36" s="90"/>
      <c r="E36" s="10"/>
      <c r="F36" s="87"/>
      <c r="G36" s="41"/>
      <c r="H36" s="41"/>
      <c r="I36" s="41"/>
      <c r="J36" s="42"/>
      <c r="K36" s="95"/>
      <c r="L36" s="21"/>
      <c r="M36" s="21"/>
      <c r="N36" s="21"/>
    </row>
    <row r="37" spans="1:14" s="15" customFormat="1" ht="21" customHeight="1">
      <c r="A37" s="98"/>
      <c r="B37" s="82"/>
      <c r="C37" s="85"/>
      <c r="D37" s="91"/>
      <c r="E37" s="10"/>
      <c r="F37" s="88"/>
      <c r="G37" s="41"/>
      <c r="H37" s="41"/>
      <c r="I37" s="41"/>
      <c r="J37" s="42"/>
      <c r="K37" s="95"/>
      <c r="L37" s="21"/>
      <c r="M37" s="21"/>
      <c r="N37" s="21"/>
    </row>
    <row r="38" spans="1:14" s="15" customFormat="1" ht="21" customHeight="1">
      <c r="A38" s="14"/>
      <c r="C38" s="14"/>
      <c r="D38" s="14"/>
      <c r="E38" s="14"/>
      <c r="F38" s="25"/>
      <c r="I38" s="14"/>
      <c r="J38" s="14"/>
      <c r="L38" s="14"/>
      <c r="M38" s="14"/>
    </row>
    <row r="39" spans="1:14" s="15" customFormat="1" ht="21" hidden="1" customHeight="1">
      <c r="A39" s="16" t="s">
        <v>27</v>
      </c>
      <c r="D39" s="14"/>
      <c r="E39" s="14"/>
      <c r="F39" s="14"/>
      <c r="J39" s="14"/>
      <c r="M39" s="14"/>
    </row>
    <row r="40" spans="1:14" s="15" customFormat="1" ht="21" hidden="1" customHeight="1">
      <c r="A40" s="14"/>
      <c r="D40" s="14"/>
      <c r="E40" s="14"/>
      <c r="F40" s="14"/>
      <c r="J40" s="14"/>
      <c r="M40" s="14"/>
    </row>
    <row r="41" spans="1:14" s="17" customFormat="1" ht="21" hidden="1" customHeight="1">
      <c r="A41" s="110" t="s">
        <v>15</v>
      </c>
      <c r="B41" s="110" t="s">
        <v>16</v>
      </c>
      <c r="C41" s="110" t="s">
        <v>17</v>
      </c>
      <c r="D41" s="113" t="s">
        <v>17</v>
      </c>
      <c r="E41" s="26"/>
      <c r="F41" s="110" t="s">
        <v>18</v>
      </c>
      <c r="G41" s="110" t="s">
        <v>13</v>
      </c>
      <c r="H41" s="117" t="s">
        <v>28</v>
      </c>
      <c r="I41" s="117" t="s">
        <v>23</v>
      </c>
      <c r="J41" s="117" t="s">
        <v>2</v>
      </c>
      <c r="K41" s="113" t="s">
        <v>19</v>
      </c>
      <c r="L41" s="120"/>
      <c r="M41" s="116" t="s">
        <v>20</v>
      </c>
    </row>
    <row r="42" spans="1:14" s="17" customFormat="1" ht="21" hidden="1" customHeight="1">
      <c r="A42" s="111"/>
      <c r="B42" s="111"/>
      <c r="C42" s="111"/>
      <c r="D42" s="114"/>
      <c r="F42" s="111"/>
      <c r="G42" s="111"/>
      <c r="H42" s="118"/>
      <c r="I42" s="118"/>
      <c r="J42" s="118"/>
      <c r="K42" s="115"/>
      <c r="L42" s="121"/>
      <c r="M42" s="116"/>
    </row>
    <row r="43" spans="1:14" s="17" customFormat="1" ht="21" hidden="1" customHeight="1">
      <c r="A43" s="112"/>
      <c r="B43" s="112"/>
      <c r="C43" s="112"/>
      <c r="D43" s="115"/>
      <c r="E43" s="27"/>
      <c r="F43" s="112"/>
      <c r="G43" s="112"/>
      <c r="H43" s="119"/>
      <c r="I43" s="119"/>
      <c r="J43" s="119"/>
      <c r="K43" s="28" t="s">
        <v>21</v>
      </c>
      <c r="L43" s="18" t="s">
        <v>22</v>
      </c>
      <c r="M43" s="12" t="s">
        <v>21</v>
      </c>
    </row>
    <row r="44" spans="1:14" s="31" customFormat="1" ht="21" hidden="1" customHeight="1">
      <c r="A44" s="8">
        <v>1</v>
      </c>
      <c r="B44" s="11" t="s">
        <v>41</v>
      </c>
      <c r="C44" s="11" t="s">
        <v>42</v>
      </c>
      <c r="D44" s="19" t="s">
        <v>41</v>
      </c>
      <c r="E44" s="29" t="s">
        <v>39</v>
      </c>
      <c r="F44" s="9" t="s">
        <v>8</v>
      </c>
      <c r="G44" s="23" t="s">
        <v>0</v>
      </c>
      <c r="H44" s="9" t="s">
        <v>38</v>
      </c>
      <c r="I44" s="19">
        <v>609.6</v>
      </c>
      <c r="J44" s="30" t="s">
        <v>1</v>
      </c>
      <c r="K44" s="19"/>
      <c r="L44" s="19"/>
      <c r="M44" s="19"/>
    </row>
    <row r="45" spans="1:14" s="15" customFormat="1" ht="21" hidden="1" customHeight="1">
      <c r="A45" s="14"/>
      <c r="D45" s="14"/>
      <c r="E45" s="14"/>
      <c r="F45" s="14"/>
      <c r="H45" s="14"/>
      <c r="J45" s="14"/>
      <c r="M45" s="14"/>
    </row>
    <row r="46" spans="1:14" s="15" customFormat="1" ht="21" hidden="1" customHeight="1">
      <c r="A46" s="14"/>
      <c r="D46" s="14"/>
      <c r="E46" s="14"/>
      <c r="F46" s="14"/>
      <c r="I46" s="15" t="s">
        <v>3</v>
      </c>
      <c r="J46" s="14"/>
      <c r="L46" s="22"/>
      <c r="M46" s="24"/>
    </row>
    <row r="47" spans="1:14" s="15" customFormat="1" ht="21" customHeight="1">
      <c r="A47" s="16"/>
      <c r="D47" s="14"/>
      <c r="E47" s="14"/>
      <c r="F47" s="14"/>
      <c r="J47" s="14"/>
      <c r="M47" s="14"/>
    </row>
    <row r="48" spans="1:14" s="15" customFormat="1" ht="21" customHeight="1">
      <c r="A48" s="14"/>
      <c r="D48" s="14"/>
      <c r="E48" s="14"/>
      <c r="F48" s="14"/>
      <c r="J48" s="14"/>
      <c r="M48" s="14"/>
    </row>
    <row r="49" spans="1:13" s="15" customFormat="1" ht="21" customHeight="1">
      <c r="A49" s="14"/>
      <c r="D49" s="14"/>
      <c r="E49" s="14"/>
      <c r="F49" s="14"/>
      <c r="J49" s="14"/>
      <c r="M49" s="14"/>
    </row>
    <row r="50" spans="1:13" s="15" customFormat="1" ht="21" customHeight="1">
      <c r="A50" s="14"/>
      <c r="D50" s="14"/>
      <c r="E50" s="14"/>
      <c r="F50" s="14"/>
      <c r="J50" s="14"/>
      <c r="M50" s="14"/>
    </row>
    <row r="51" spans="1:13" s="15" customFormat="1" ht="21" customHeight="1">
      <c r="A51" s="14"/>
      <c r="D51" s="14"/>
      <c r="E51" s="14"/>
      <c r="F51" s="14"/>
      <c r="J51" s="14"/>
      <c r="M51" s="14"/>
    </row>
    <row r="52" spans="1:13" s="15" customFormat="1" ht="21" customHeight="1">
      <c r="A52" s="14"/>
      <c r="D52" s="14"/>
      <c r="E52" s="14"/>
      <c r="F52" s="14"/>
      <c r="J52" s="14"/>
      <c r="M52" s="14"/>
    </row>
    <row r="53" spans="1:13" s="15" customFormat="1" ht="21" customHeight="1">
      <c r="A53" s="14"/>
      <c r="D53" s="14"/>
      <c r="E53" s="14"/>
      <c r="F53" s="14"/>
      <c r="J53" s="14"/>
      <c r="M53" s="14"/>
    </row>
    <row r="54" spans="1:13" s="15" customFormat="1" ht="21" customHeight="1">
      <c r="A54" s="14"/>
      <c r="D54" s="14"/>
      <c r="E54" s="14"/>
      <c r="F54" s="14"/>
      <c r="J54" s="14"/>
      <c r="M54" s="14"/>
    </row>
    <row r="55" spans="1:13" s="15" customFormat="1" ht="21" customHeight="1">
      <c r="A55" s="14"/>
      <c r="D55" s="14"/>
      <c r="E55" s="14"/>
      <c r="F55" s="14"/>
      <c r="J55" s="14"/>
      <c r="M55" s="14"/>
    </row>
    <row r="56" spans="1:13" s="15" customFormat="1" ht="21" customHeight="1">
      <c r="A56" s="14"/>
      <c r="D56" s="14"/>
      <c r="E56" s="14"/>
      <c r="F56" s="14"/>
      <c r="J56" s="14"/>
      <c r="M56" s="14"/>
    </row>
    <row r="57" spans="1:13" s="15" customFormat="1" ht="21" customHeight="1">
      <c r="A57" s="14"/>
      <c r="D57" s="14"/>
      <c r="E57" s="14"/>
      <c r="F57" s="14"/>
      <c r="J57" s="14"/>
      <c r="M57" s="14"/>
    </row>
    <row r="58" spans="1:13" s="15" customFormat="1" ht="21" customHeight="1">
      <c r="A58" s="14"/>
      <c r="D58" s="14"/>
      <c r="E58" s="14"/>
      <c r="F58" s="14"/>
      <c r="J58" s="14"/>
      <c r="M58" s="14"/>
    </row>
    <row r="59" spans="1:13" s="15" customFormat="1" ht="21" customHeight="1">
      <c r="A59" s="14"/>
      <c r="D59" s="14"/>
      <c r="E59" s="14"/>
      <c r="F59" s="14"/>
      <c r="J59" s="14"/>
      <c r="M59" s="14"/>
    </row>
    <row r="60" spans="1:13" s="15" customFormat="1" ht="21" customHeight="1">
      <c r="A60" s="14"/>
      <c r="D60" s="14"/>
      <c r="E60" s="14"/>
      <c r="F60" s="14"/>
      <c r="J60" s="14"/>
      <c r="M60" s="14"/>
    </row>
  </sheetData>
  <mergeCells count="36">
    <mergeCell ref="M41:M42"/>
    <mergeCell ref="G41:G43"/>
    <mergeCell ref="H41:H43"/>
    <mergeCell ref="I41:I43"/>
    <mergeCell ref="J41:J43"/>
    <mergeCell ref="K41:L42"/>
    <mergeCell ref="A41:A43"/>
    <mergeCell ref="B41:B43"/>
    <mergeCell ref="C41:C43"/>
    <mergeCell ref="D41:D43"/>
    <mergeCell ref="F41:F43"/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  <mergeCell ref="A1:N5"/>
    <mergeCell ref="K17:K18"/>
    <mergeCell ref="N28:N29"/>
    <mergeCell ref="K28:M28"/>
    <mergeCell ref="B30:B37"/>
    <mergeCell ref="C30:C37"/>
    <mergeCell ref="F30:F37"/>
    <mergeCell ref="D30:D37"/>
    <mergeCell ref="B20:C20"/>
    <mergeCell ref="G28:J28"/>
    <mergeCell ref="K30:K37"/>
    <mergeCell ref="A30:A37"/>
    <mergeCell ref="G15:G16"/>
    <mergeCell ref="H15:H16"/>
    <mergeCell ref="A28:A29"/>
    <mergeCell ref="B28:B29"/>
  </mergeCells>
  <pageMargins left="0.11811023622047245" right="0" top="0.19685039370078741" bottom="0.15748031496062992" header="0.31496062992125984" footer="0.31496062992125984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36ED6-FB33-4289-99F1-84A75D73658E}">
  <dimension ref="A1:Z83"/>
  <sheetViews>
    <sheetView workbookViewId="0">
      <selection activeCell="W7" sqref="W7:Z7"/>
    </sheetView>
  </sheetViews>
  <sheetFormatPr defaultRowHeight="14.4"/>
  <cols>
    <col min="1" max="1" width="15.6640625" style="61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22" t="s">
        <v>72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47"/>
      <c r="X1" s="47"/>
      <c r="Y1" s="47"/>
      <c r="Z1" s="47"/>
    </row>
    <row r="2" spans="1:26" ht="15" customHeight="1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47"/>
      <c r="X2" s="47"/>
      <c r="Y2" s="47"/>
      <c r="Z2" s="47"/>
    </row>
    <row r="3" spans="1:26" ht="15" customHeight="1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47"/>
      <c r="X3" s="47"/>
      <c r="Y3" s="47"/>
      <c r="Z3" s="47"/>
    </row>
    <row r="4" spans="1:26" ht="15" customHeight="1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47"/>
      <c r="X4" s="47"/>
      <c r="Y4" s="47"/>
      <c r="Z4" s="47"/>
    </row>
    <row r="5" spans="1:26" ht="15" customHeight="1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47"/>
      <c r="X5" s="47"/>
      <c r="Y5" s="47"/>
      <c r="Z5" s="47"/>
    </row>
    <row r="6" spans="1:26" ht="30">
      <c r="A6" s="187" t="s">
        <v>90</v>
      </c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spans="1:26" s="6" customFormat="1" ht="26.25" customHeight="1">
      <c r="A7" s="188" t="s">
        <v>90</v>
      </c>
      <c r="B7" s="188"/>
      <c r="C7" s="40" t="s">
        <v>74</v>
      </c>
      <c r="E7" s="14"/>
      <c r="F7" s="14"/>
      <c r="G7" s="191" t="str">
        <f>'ใบงาน Agilent_JOB 5'!F7</f>
        <v>xxxx</v>
      </c>
      <c r="H7" s="191"/>
      <c r="I7" s="191"/>
      <c r="J7" s="191"/>
      <c r="K7" s="191"/>
      <c r="L7" s="191"/>
      <c r="M7" s="191"/>
      <c r="N7" s="14"/>
      <c r="O7" s="14"/>
      <c r="P7" s="14"/>
      <c r="Q7" s="14"/>
      <c r="R7" s="14"/>
      <c r="S7" s="48" t="s">
        <v>50</v>
      </c>
      <c r="W7" s="76" t="str">
        <f>'ใบงาน Agilent_JOB 5'!M7</f>
        <v>xxx</v>
      </c>
      <c r="X7" s="76"/>
      <c r="Y7" s="76"/>
      <c r="Z7" s="76"/>
    </row>
    <row r="8" spans="1:26" s="6" customFormat="1" ht="13.8">
      <c r="A8" s="62" t="s">
        <v>75</v>
      </c>
      <c r="B8" s="66" t="s">
        <v>41</v>
      </c>
      <c r="C8" s="63" t="s">
        <v>76</v>
      </c>
      <c r="D8" s="63"/>
      <c r="E8" s="63"/>
      <c r="F8" s="63"/>
      <c r="G8" s="189" t="str">
        <f>'ใบงาน Agilent_JOB 5'!F9</f>
        <v>-</v>
      </c>
      <c r="H8" s="189"/>
      <c r="I8" s="189"/>
      <c r="J8" s="189"/>
      <c r="K8" s="39"/>
      <c r="L8" s="39"/>
      <c r="M8" s="39"/>
      <c r="N8" s="39"/>
      <c r="O8" s="39"/>
      <c r="P8" s="39"/>
      <c r="Q8" s="39"/>
      <c r="R8" s="39"/>
      <c r="S8" s="39"/>
      <c r="T8" s="39"/>
    </row>
    <row r="9" spans="1:26" s="6" customFormat="1" ht="13.5" customHeight="1">
      <c r="A9" s="190" t="s">
        <v>3</v>
      </c>
      <c r="B9" s="190"/>
      <c r="C9" s="65"/>
      <c r="D9" s="65"/>
      <c r="E9" s="65"/>
      <c r="F9" s="65"/>
      <c r="G9" s="189"/>
      <c r="H9" s="189"/>
      <c r="I9" s="189"/>
      <c r="J9" s="189"/>
      <c r="L9" s="14"/>
      <c r="M9" s="14"/>
      <c r="N9" s="14"/>
      <c r="O9" s="14"/>
      <c r="P9" s="14"/>
      <c r="Q9" s="14"/>
      <c r="R9" s="14"/>
      <c r="S9" s="78" t="s">
        <v>65</v>
      </c>
      <c r="T9" s="78"/>
      <c r="U9" s="78"/>
      <c r="V9" s="78"/>
    </row>
    <row r="10" spans="1:26" s="6" customFormat="1" ht="13.5" customHeight="1">
      <c r="A10" s="62" t="s">
        <v>91</v>
      </c>
      <c r="B10" s="69">
        <f>'ใบงาน Agilent_JOB 5'!M8</f>
        <v>2000</v>
      </c>
      <c r="C10" s="49"/>
      <c r="D10" s="180" t="s">
        <v>3</v>
      </c>
      <c r="E10" s="180"/>
      <c r="F10" s="180"/>
      <c r="G10" s="180"/>
      <c r="H10" s="180"/>
      <c r="I10" s="180"/>
      <c r="J10" s="180"/>
      <c r="K10" s="40"/>
      <c r="L10" s="14"/>
      <c r="M10" s="14"/>
      <c r="N10" s="14"/>
      <c r="O10" s="14"/>
      <c r="P10" s="14"/>
      <c r="Q10" s="14"/>
      <c r="R10" s="14"/>
      <c r="S10" s="78"/>
      <c r="T10" s="78"/>
      <c r="U10" s="78"/>
      <c r="V10" s="78"/>
    </row>
    <row r="11" spans="1:26" s="6" customFormat="1" ht="13.8">
      <c r="A11" s="49"/>
      <c r="B11" s="31"/>
      <c r="C11" s="49"/>
      <c r="D11" s="49"/>
      <c r="E11" s="49"/>
      <c r="F11" s="49"/>
      <c r="G11" s="180"/>
      <c r="H11" s="180"/>
      <c r="I11" s="180"/>
      <c r="J11" s="180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spans="1:26" s="6" customFormat="1" ht="13.8">
      <c r="A12" s="49" t="s">
        <v>71</v>
      </c>
      <c r="B12" s="31"/>
      <c r="C12" s="49"/>
      <c r="D12" s="49"/>
      <c r="E12" s="49"/>
      <c r="F12" s="49"/>
      <c r="G12" s="180"/>
      <c r="H12" s="180"/>
      <c r="I12" s="180"/>
      <c r="J12" s="180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spans="1:26" s="6" customFormat="1" ht="13.8">
      <c r="A13" s="14"/>
      <c r="B13" s="15"/>
      <c r="C13" s="14"/>
      <c r="D13" s="14"/>
      <c r="E13" s="14"/>
      <c r="F13" s="14"/>
      <c r="G13" s="40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6" customFormat="1" ht="13.8">
      <c r="A14" s="181" t="s">
        <v>15</v>
      </c>
      <c r="B14" s="181" t="s">
        <v>79</v>
      </c>
      <c r="C14" s="173" t="s">
        <v>80</v>
      </c>
      <c r="D14" s="182"/>
      <c r="E14" s="182"/>
      <c r="F14" s="182"/>
      <c r="G14" s="182"/>
      <c r="H14" s="183"/>
      <c r="I14" s="173" t="s">
        <v>21</v>
      </c>
      <c r="J14" s="182"/>
      <c r="K14" s="182"/>
      <c r="L14" s="182"/>
      <c r="M14" s="182"/>
      <c r="N14" s="183"/>
      <c r="O14" s="173" t="s">
        <v>22</v>
      </c>
      <c r="P14" s="174"/>
      <c r="Q14" s="174"/>
      <c r="R14" s="174"/>
      <c r="S14" s="174"/>
      <c r="T14" s="175"/>
      <c r="U14" s="179" t="s">
        <v>81</v>
      </c>
      <c r="V14" s="179"/>
      <c r="W14" s="179"/>
      <c r="X14" s="179"/>
      <c r="Y14" s="179"/>
      <c r="Z14" s="179"/>
    </row>
    <row r="15" spans="1:26" s="6" customFormat="1" ht="13.8">
      <c r="A15" s="110"/>
      <c r="B15" s="181"/>
      <c r="C15" s="184"/>
      <c r="D15" s="185"/>
      <c r="E15" s="185"/>
      <c r="F15" s="185"/>
      <c r="G15" s="185"/>
      <c r="H15" s="186"/>
      <c r="I15" s="184"/>
      <c r="J15" s="185"/>
      <c r="K15" s="185"/>
      <c r="L15" s="185"/>
      <c r="M15" s="185"/>
      <c r="N15" s="186"/>
      <c r="O15" s="176"/>
      <c r="P15" s="177"/>
      <c r="Q15" s="177"/>
      <c r="R15" s="177"/>
      <c r="S15" s="177"/>
      <c r="T15" s="178"/>
      <c r="U15" s="179"/>
      <c r="V15" s="179"/>
      <c r="W15" s="179"/>
      <c r="X15" s="179"/>
      <c r="Y15" s="179"/>
      <c r="Z15" s="179"/>
    </row>
    <row r="16" spans="1:26" s="51" customFormat="1" ht="35.700000000000003" customHeight="1">
      <c r="A16" s="52">
        <v>1</v>
      </c>
      <c r="B16" s="53" t="s">
        <v>92</v>
      </c>
      <c r="C16" s="168"/>
      <c r="D16" s="168"/>
      <c r="E16" s="168"/>
      <c r="F16" s="168"/>
      <c r="G16" s="168"/>
      <c r="H16" s="168"/>
      <c r="I16" s="168" t="s">
        <v>3</v>
      </c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spans="1:26" s="51" customFormat="1" ht="22.5" customHeight="1">
      <c r="A17" s="170">
        <v>2</v>
      </c>
      <c r="B17" s="50" t="s">
        <v>82</v>
      </c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spans="1:26" s="51" customFormat="1" ht="22.5" customHeight="1">
      <c r="A18" s="171"/>
      <c r="B18" s="50" t="s">
        <v>83</v>
      </c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spans="1:26" s="51" customFormat="1" ht="22.5" customHeight="1">
      <c r="A19" s="171"/>
      <c r="B19" s="50" t="s">
        <v>84</v>
      </c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spans="1:26" s="51" customFormat="1" ht="22.5" customHeight="1">
      <c r="A20" s="171"/>
      <c r="B20" s="50" t="s">
        <v>85</v>
      </c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spans="1:26" s="51" customFormat="1" ht="22.5" customHeight="1">
      <c r="A21" s="172"/>
      <c r="B21" s="50" t="s">
        <v>86</v>
      </c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spans="1:26" s="51" customFormat="1" ht="22.5" customHeight="1">
      <c r="A22" s="52">
        <v>3</v>
      </c>
      <c r="B22" s="53" t="s">
        <v>87</v>
      </c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spans="1:26" s="51" customFormat="1" ht="22.5" customHeight="1">
      <c r="A23" s="52">
        <v>4</v>
      </c>
      <c r="B23" s="53" t="s">
        <v>93</v>
      </c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spans="1:26" s="51" customFormat="1" ht="22.5" customHeight="1">
      <c r="A24" s="52">
        <v>5</v>
      </c>
      <c r="B24" s="53" t="s">
        <v>94</v>
      </c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spans="1:26" s="51" customFormat="1" ht="20.7" customHeight="1">
      <c r="A25" s="52">
        <v>6</v>
      </c>
      <c r="B25" s="53" t="s">
        <v>95</v>
      </c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spans="1:26" s="6" customFormat="1" ht="13.8">
      <c r="A26" s="7"/>
      <c r="C26" s="150"/>
      <c r="D26" s="150"/>
      <c r="E26" s="150"/>
      <c r="F26" s="150"/>
    </row>
    <row r="27" spans="1:26" s="6" customFormat="1" ht="15.6">
      <c r="A27" s="169" t="s">
        <v>96</v>
      </c>
      <c r="B27" s="169"/>
      <c r="C27" s="169"/>
      <c r="D27" s="169"/>
      <c r="E27" s="169"/>
      <c r="F27" s="169"/>
      <c r="G27" s="169"/>
      <c r="H27" s="169"/>
      <c r="I27" s="169"/>
      <c r="J27" s="169"/>
    </row>
    <row r="28" spans="1:26" s="55" customFormat="1" ht="15">
      <c r="A28" s="157" t="s">
        <v>97</v>
      </c>
      <c r="B28" s="158"/>
      <c r="C28" s="164" t="s">
        <v>98</v>
      </c>
      <c r="D28" s="164"/>
      <c r="E28" s="164"/>
      <c r="F28" s="164"/>
      <c r="G28" s="165" t="s">
        <v>99</v>
      </c>
      <c r="H28" s="166"/>
      <c r="I28" s="166"/>
      <c r="J28" s="167"/>
      <c r="L28" s="162" t="s">
        <v>3</v>
      </c>
      <c r="M28" s="162"/>
    </row>
    <row r="29" spans="1:26" s="55" customFormat="1" ht="15">
      <c r="A29" s="157" t="s">
        <v>100</v>
      </c>
      <c r="B29" s="158"/>
      <c r="C29" s="163">
        <v>10</v>
      </c>
      <c r="D29" s="163"/>
      <c r="E29" s="163"/>
      <c r="F29" s="163"/>
      <c r="G29" s="163">
        <v>10</v>
      </c>
      <c r="H29" s="163"/>
      <c r="I29" s="163"/>
      <c r="J29" s="163"/>
      <c r="L29" s="162"/>
      <c r="M29" s="162"/>
    </row>
    <row r="30" spans="1:26" s="55" customFormat="1" ht="15">
      <c r="A30" s="157" t="s">
        <v>101</v>
      </c>
      <c r="B30" s="158"/>
      <c r="C30" s="163">
        <v>20</v>
      </c>
      <c r="D30" s="163"/>
      <c r="E30" s="163"/>
      <c r="F30" s="163"/>
      <c r="G30" s="163">
        <v>20</v>
      </c>
      <c r="H30" s="163"/>
      <c r="I30" s="163"/>
      <c r="J30" s="163"/>
      <c r="L30" s="162"/>
      <c r="M30" s="162"/>
    </row>
    <row r="31" spans="1:26" s="55" customFormat="1" ht="15">
      <c r="A31" s="157" t="s">
        <v>102</v>
      </c>
      <c r="B31" s="158"/>
      <c r="C31" s="163">
        <v>30</v>
      </c>
      <c r="D31" s="163"/>
      <c r="E31" s="163"/>
      <c r="F31" s="163"/>
      <c r="G31" s="163">
        <v>30</v>
      </c>
      <c r="H31" s="163"/>
      <c r="I31" s="163"/>
      <c r="J31" s="163"/>
      <c r="L31" s="162"/>
      <c r="M31" s="162"/>
    </row>
    <row r="32" spans="1:26" s="55" customFormat="1" ht="15">
      <c r="A32" s="157" t="s">
        <v>103</v>
      </c>
      <c r="B32" s="158"/>
      <c r="C32" s="159">
        <v>40</v>
      </c>
      <c r="D32" s="160"/>
      <c r="E32" s="160"/>
      <c r="F32" s="161"/>
      <c r="G32" s="159">
        <v>40</v>
      </c>
      <c r="H32" s="160"/>
      <c r="I32" s="160"/>
      <c r="J32" s="161"/>
      <c r="L32" s="162"/>
      <c r="M32" s="162"/>
    </row>
    <row r="33" spans="1:26" s="55" customFormat="1" ht="15">
      <c r="A33" s="157" t="s">
        <v>104</v>
      </c>
      <c r="B33" s="158"/>
      <c r="C33" s="163">
        <v>50</v>
      </c>
      <c r="D33" s="163"/>
      <c r="E33" s="163"/>
      <c r="F33" s="163"/>
      <c r="G33" s="163">
        <v>50</v>
      </c>
      <c r="H33" s="163"/>
      <c r="I33" s="163"/>
      <c r="J33" s="163"/>
      <c r="L33" s="162"/>
      <c r="M33" s="162"/>
    </row>
    <row r="34" spans="1:26" s="55" customFormat="1" ht="15">
      <c r="A34" s="157" t="s">
        <v>105</v>
      </c>
      <c r="B34" s="158"/>
      <c r="C34" s="163">
        <v>100</v>
      </c>
      <c r="D34" s="163"/>
      <c r="E34" s="163"/>
      <c r="F34" s="163"/>
      <c r="G34" s="163">
        <v>100</v>
      </c>
      <c r="H34" s="163"/>
      <c r="I34" s="163"/>
      <c r="J34" s="163"/>
      <c r="L34" s="162"/>
      <c r="M34" s="162"/>
    </row>
    <row r="35" spans="1:26" s="55" customFormat="1" ht="15">
      <c r="A35" s="157" t="s">
        <v>106</v>
      </c>
      <c r="B35" s="158"/>
      <c r="C35" s="163">
        <v>200</v>
      </c>
      <c r="D35" s="163"/>
      <c r="E35" s="163"/>
      <c r="F35" s="163"/>
      <c r="G35" s="163">
        <v>200</v>
      </c>
      <c r="H35" s="163"/>
      <c r="I35" s="163"/>
      <c r="J35" s="163"/>
      <c r="L35" s="162"/>
      <c r="M35" s="162"/>
    </row>
    <row r="36" spans="1:26" s="55" customFormat="1" ht="15">
      <c r="A36" s="157" t="s">
        <v>107</v>
      </c>
      <c r="B36" s="158"/>
      <c r="C36" s="159" t="s">
        <v>108</v>
      </c>
      <c r="D36" s="160"/>
      <c r="E36" s="160"/>
      <c r="F36" s="160"/>
      <c r="G36" s="160"/>
      <c r="H36" s="160"/>
      <c r="I36" s="160"/>
      <c r="J36" s="161"/>
      <c r="L36" s="162"/>
      <c r="M36" s="162"/>
    </row>
    <row r="37" spans="1:26" s="55" customFormat="1" ht="15">
      <c r="A37" s="54"/>
      <c r="L37" s="162"/>
      <c r="M37" s="162"/>
    </row>
    <row r="38" spans="1:26" s="55" customFormat="1" ht="15">
      <c r="A38" s="54"/>
      <c r="L38" s="162"/>
      <c r="M38" s="162"/>
    </row>
    <row r="39" spans="1:26" s="6" customFormat="1" ht="13.8">
      <c r="A39" s="7"/>
      <c r="L39" s="150"/>
      <c r="M39" s="150"/>
    </row>
    <row r="40" spans="1:26" s="6" customFormat="1" ht="13.8">
      <c r="A40" s="7"/>
      <c r="L40" s="150"/>
      <c r="M40" s="150"/>
    </row>
    <row r="41" spans="1:26" s="6" customFormat="1" ht="13.8">
      <c r="A41" s="7"/>
      <c r="L41" s="150"/>
      <c r="M41" s="150"/>
    </row>
    <row r="42" spans="1:26" s="55" customFormat="1" ht="19.2" customHeight="1">
      <c r="A42" s="56" t="s">
        <v>109</v>
      </c>
      <c r="B42" s="57" t="s">
        <v>110</v>
      </c>
      <c r="C42" s="151" t="s">
        <v>111</v>
      </c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3"/>
      <c r="O42" s="154" t="s">
        <v>112</v>
      </c>
      <c r="P42" s="155"/>
      <c r="Q42" s="155"/>
      <c r="R42" s="155"/>
      <c r="S42" s="156"/>
      <c r="T42" s="154" t="s">
        <v>113</v>
      </c>
      <c r="U42" s="155"/>
      <c r="V42" s="155"/>
      <c r="W42" s="156"/>
      <c r="X42" s="155" t="s">
        <v>114</v>
      </c>
      <c r="Y42" s="155"/>
      <c r="Z42" s="156"/>
    </row>
    <row r="43" spans="1:26" s="6" customFormat="1" ht="16.5" customHeight="1">
      <c r="A43" s="147" t="s">
        <v>115</v>
      </c>
      <c r="B43" s="56" t="s">
        <v>116</v>
      </c>
      <c r="C43" s="136" t="s">
        <v>117</v>
      </c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8"/>
      <c r="O43" s="129" t="s">
        <v>118</v>
      </c>
      <c r="P43" s="124"/>
      <c r="Q43" s="124"/>
      <c r="R43" s="124"/>
      <c r="S43" s="125"/>
      <c r="T43" s="129" t="s">
        <v>119</v>
      </c>
      <c r="U43" s="124"/>
      <c r="V43" s="124"/>
      <c r="W43" s="125"/>
      <c r="X43" s="129">
        <v>1</v>
      </c>
      <c r="Y43" s="124"/>
      <c r="Z43" s="125"/>
    </row>
    <row r="44" spans="1:26" s="6" customFormat="1" ht="16.5" customHeight="1">
      <c r="A44" s="148"/>
      <c r="B44" s="56" t="s">
        <v>120</v>
      </c>
      <c r="C44" s="136" t="s">
        <v>121</v>
      </c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8"/>
      <c r="O44" s="129" t="s">
        <v>118</v>
      </c>
      <c r="P44" s="124"/>
      <c r="Q44" s="124"/>
      <c r="R44" s="124"/>
      <c r="S44" s="125"/>
      <c r="T44" s="129" t="s">
        <v>122</v>
      </c>
      <c r="U44" s="124"/>
      <c r="V44" s="124"/>
      <c r="W44" s="125"/>
      <c r="X44" s="129">
        <v>1</v>
      </c>
      <c r="Y44" s="124"/>
      <c r="Z44" s="125"/>
    </row>
    <row r="45" spans="1:26" s="6" customFormat="1" ht="16.5" customHeight="1">
      <c r="A45" s="148"/>
      <c r="B45" s="56" t="s">
        <v>123</v>
      </c>
      <c r="C45" s="136" t="s">
        <v>124</v>
      </c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8"/>
      <c r="O45" s="129" t="s">
        <v>125</v>
      </c>
      <c r="P45" s="124"/>
      <c r="Q45" s="124"/>
      <c r="R45" s="124"/>
      <c r="S45" s="125"/>
      <c r="T45" s="129" t="s">
        <v>126</v>
      </c>
      <c r="U45" s="124"/>
      <c r="V45" s="124"/>
      <c r="W45" s="125"/>
      <c r="X45" s="129">
        <v>6</v>
      </c>
      <c r="Y45" s="124"/>
      <c r="Z45" s="125"/>
    </row>
    <row r="46" spans="1:26" s="6" customFormat="1" ht="16.5" customHeight="1">
      <c r="A46" s="148"/>
      <c r="B46" s="56" t="s">
        <v>127</v>
      </c>
      <c r="C46" s="136" t="s">
        <v>128</v>
      </c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8"/>
      <c r="O46" s="129" t="s">
        <v>129</v>
      </c>
      <c r="P46" s="124"/>
      <c r="Q46" s="124"/>
      <c r="R46" s="124"/>
      <c r="S46" s="125"/>
      <c r="T46" s="129" t="s">
        <v>130</v>
      </c>
      <c r="U46" s="124"/>
      <c r="V46" s="124"/>
      <c r="W46" s="125"/>
      <c r="X46" s="129">
        <v>6</v>
      </c>
      <c r="Y46" s="124"/>
      <c r="Z46" s="125"/>
    </row>
    <row r="47" spans="1:26" s="6" customFormat="1" ht="16.5" customHeight="1">
      <c r="A47" s="149"/>
      <c r="B47" s="56" t="s">
        <v>131</v>
      </c>
      <c r="C47" s="136" t="s">
        <v>132</v>
      </c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8"/>
      <c r="O47" s="129" t="s">
        <v>129</v>
      </c>
      <c r="P47" s="124"/>
      <c r="Q47" s="124"/>
      <c r="R47" s="124"/>
      <c r="S47" s="125"/>
      <c r="T47" s="129" t="s">
        <v>133</v>
      </c>
      <c r="U47" s="124"/>
      <c r="V47" s="124"/>
      <c r="W47" s="125"/>
      <c r="X47" s="129">
        <v>6</v>
      </c>
      <c r="Y47" s="124"/>
      <c r="Z47" s="125"/>
    </row>
    <row r="48" spans="1:26" s="6" customFormat="1" ht="16.5" customHeight="1">
      <c r="A48" s="141" t="s">
        <v>134</v>
      </c>
      <c r="B48" s="56" t="s">
        <v>135</v>
      </c>
      <c r="C48" s="136" t="s">
        <v>136</v>
      </c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8"/>
      <c r="O48" s="129" t="s">
        <v>137</v>
      </c>
      <c r="P48" s="124"/>
      <c r="Q48" s="124"/>
      <c r="R48" s="124"/>
      <c r="S48" s="125"/>
      <c r="T48" s="129" t="s">
        <v>138</v>
      </c>
      <c r="U48" s="124"/>
      <c r="V48" s="124"/>
      <c r="W48" s="125"/>
      <c r="X48" s="129">
        <v>2</v>
      </c>
      <c r="Y48" s="124"/>
      <c r="Z48" s="125"/>
    </row>
    <row r="49" spans="1:26" s="6" customFormat="1" ht="16.5" customHeight="1">
      <c r="A49" s="143"/>
      <c r="B49" s="56" t="s">
        <v>139</v>
      </c>
      <c r="C49" s="136" t="s">
        <v>140</v>
      </c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8"/>
      <c r="O49" s="129" t="s">
        <v>141</v>
      </c>
      <c r="P49" s="124"/>
      <c r="Q49" s="124"/>
      <c r="R49" s="124"/>
      <c r="S49" s="125"/>
      <c r="T49" s="129" t="s">
        <v>142</v>
      </c>
      <c r="U49" s="124"/>
      <c r="V49" s="124"/>
      <c r="W49" s="125"/>
      <c r="X49" s="129">
        <v>1</v>
      </c>
      <c r="Y49" s="124"/>
      <c r="Z49" s="125"/>
    </row>
    <row r="50" spans="1:26" s="6" customFormat="1" ht="16.5" customHeight="1">
      <c r="A50" s="141" t="s">
        <v>143</v>
      </c>
      <c r="B50" s="56" t="s">
        <v>144</v>
      </c>
      <c r="C50" s="136" t="s">
        <v>145</v>
      </c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8"/>
      <c r="O50" s="129" t="s">
        <v>0</v>
      </c>
      <c r="P50" s="124"/>
      <c r="Q50" s="124"/>
      <c r="R50" s="124"/>
      <c r="S50" s="125"/>
      <c r="T50" s="129" t="s">
        <v>69</v>
      </c>
      <c r="U50" s="124"/>
      <c r="V50" s="124"/>
      <c r="W50" s="125"/>
      <c r="X50" s="129">
        <v>1</v>
      </c>
      <c r="Y50" s="124"/>
      <c r="Z50" s="125"/>
    </row>
    <row r="51" spans="1:26" s="6" customFormat="1" ht="16.5" customHeight="1">
      <c r="A51" s="142"/>
      <c r="B51" s="56" t="s">
        <v>146</v>
      </c>
      <c r="C51" s="136" t="s">
        <v>147</v>
      </c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8"/>
      <c r="O51" s="129" t="s">
        <v>0</v>
      </c>
      <c r="P51" s="124"/>
      <c r="Q51" s="124"/>
      <c r="R51" s="124"/>
      <c r="S51" s="125"/>
      <c r="T51" s="129" t="s">
        <v>148</v>
      </c>
      <c r="U51" s="124"/>
      <c r="V51" s="124"/>
      <c r="W51" s="125"/>
      <c r="X51" s="129">
        <v>4</v>
      </c>
      <c r="Y51" s="124"/>
      <c r="Z51" s="125"/>
    </row>
    <row r="52" spans="1:26" s="6" customFormat="1" ht="16.5" customHeight="1">
      <c r="A52" s="142"/>
      <c r="B52" s="56" t="s">
        <v>149</v>
      </c>
      <c r="C52" s="136" t="s">
        <v>150</v>
      </c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8"/>
      <c r="O52" s="129" t="s">
        <v>118</v>
      </c>
      <c r="P52" s="124"/>
      <c r="Q52" s="124"/>
      <c r="R52" s="124"/>
      <c r="S52" s="125"/>
      <c r="T52" s="129" t="s">
        <v>151</v>
      </c>
      <c r="U52" s="124"/>
      <c r="V52" s="124"/>
      <c r="W52" s="125"/>
      <c r="X52" s="129">
        <v>1</v>
      </c>
      <c r="Y52" s="124"/>
      <c r="Z52" s="125"/>
    </row>
    <row r="53" spans="1:26" s="6" customFormat="1" ht="16.5" customHeight="1">
      <c r="A53" s="143"/>
      <c r="B53" s="56" t="s">
        <v>152</v>
      </c>
      <c r="C53" s="136" t="s">
        <v>153</v>
      </c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8"/>
      <c r="O53" s="129" t="s">
        <v>118</v>
      </c>
      <c r="P53" s="124"/>
      <c r="Q53" s="124"/>
      <c r="R53" s="124"/>
      <c r="S53" s="125"/>
      <c r="T53" s="129" t="s">
        <v>154</v>
      </c>
      <c r="U53" s="124"/>
      <c r="V53" s="124"/>
      <c r="W53" s="125"/>
      <c r="X53" s="129">
        <v>1</v>
      </c>
      <c r="Y53" s="124"/>
      <c r="Z53" s="125"/>
    </row>
    <row r="54" spans="1:26" s="6" customFormat="1" ht="16.5" customHeight="1">
      <c r="A54" s="144" t="s">
        <v>155</v>
      </c>
      <c r="B54" s="56" t="s">
        <v>156</v>
      </c>
      <c r="C54" s="136" t="s">
        <v>157</v>
      </c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8"/>
      <c r="O54" s="129" t="s">
        <v>158</v>
      </c>
      <c r="P54" s="124"/>
      <c r="Q54" s="124"/>
      <c r="R54" s="124"/>
      <c r="S54" s="125"/>
      <c r="T54" s="129" t="s">
        <v>159</v>
      </c>
      <c r="U54" s="124"/>
      <c r="V54" s="124"/>
      <c r="W54" s="125"/>
      <c r="X54" s="129">
        <v>1</v>
      </c>
      <c r="Y54" s="124"/>
      <c r="Z54" s="125"/>
    </row>
    <row r="55" spans="1:26" s="6" customFormat="1" ht="16.5" customHeight="1">
      <c r="A55" s="145"/>
      <c r="B55" s="56" t="s">
        <v>160</v>
      </c>
      <c r="C55" s="136" t="s">
        <v>161</v>
      </c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8"/>
      <c r="O55" s="129" t="s">
        <v>0</v>
      </c>
      <c r="P55" s="124"/>
      <c r="Q55" s="124"/>
      <c r="R55" s="124"/>
      <c r="S55" s="125"/>
      <c r="T55" s="129" t="s">
        <v>162</v>
      </c>
      <c r="U55" s="124"/>
      <c r="V55" s="124"/>
      <c r="W55" s="125"/>
      <c r="X55" s="129">
        <v>2</v>
      </c>
      <c r="Y55" s="124"/>
      <c r="Z55" s="125"/>
    </row>
    <row r="56" spans="1:26" s="6" customFormat="1" ht="16.5" customHeight="1">
      <c r="A56" s="145"/>
      <c r="B56" s="56" t="s">
        <v>163</v>
      </c>
      <c r="C56" s="136" t="s">
        <v>164</v>
      </c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8"/>
      <c r="O56" s="129" t="s">
        <v>0</v>
      </c>
      <c r="P56" s="124"/>
      <c r="Q56" s="124"/>
      <c r="R56" s="124"/>
      <c r="S56" s="125"/>
      <c r="T56" s="129" t="s">
        <v>165</v>
      </c>
      <c r="U56" s="124"/>
      <c r="V56" s="124"/>
      <c r="W56" s="125"/>
      <c r="X56" s="129">
        <v>2</v>
      </c>
      <c r="Y56" s="124"/>
      <c r="Z56" s="125"/>
    </row>
    <row r="57" spans="1:26" s="6" customFormat="1" ht="16.5" customHeight="1">
      <c r="A57" s="145"/>
      <c r="B57" s="56" t="s">
        <v>166</v>
      </c>
      <c r="C57" s="136" t="s">
        <v>167</v>
      </c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8"/>
      <c r="O57" s="129" t="s">
        <v>0</v>
      </c>
      <c r="P57" s="124"/>
      <c r="Q57" s="124"/>
      <c r="R57" s="124"/>
      <c r="S57" s="125"/>
      <c r="T57" s="129" t="s">
        <v>168</v>
      </c>
      <c r="U57" s="124"/>
      <c r="V57" s="124"/>
      <c r="W57" s="125"/>
      <c r="X57" s="129">
        <v>2</v>
      </c>
      <c r="Y57" s="124"/>
      <c r="Z57" s="125"/>
    </row>
    <row r="58" spans="1:26" s="6" customFormat="1" ht="16.5" customHeight="1">
      <c r="A58" s="146"/>
      <c r="B58" s="56" t="s">
        <v>169</v>
      </c>
      <c r="C58" s="136" t="s">
        <v>170</v>
      </c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8"/>
      <c r="O58" s="129" t="s">
        <v>0</v>
      </c>
      <c r="P58" s="124"/>
      <c r="Q58" s="124"/>
      <c r="R58" s="124"/>
      <c r="S58" s="125"/>
      <c r="T58" s="129" t="s">
        <v>171</v>
      </c>
      <c r="U58" s="124"/>
      <c r="V58" s="124"/>
      <c r="W58" s="125"/>
      <c r="X58" s="129">
        <v>22</v>
      </c>
      <c r="Y58" s="124"/>
      <c r="Z58" s="125"/>
    </row>
    <row r="59" spans="1:26" s="6" customFormat="1" ht="16.5" customHeight="1">
      <c r="A59" s="58" t="s">
        <v>172</v>
      </c>
      <c r="B59" s="56" t="s">
        <v>173</v>
      </c>
      <c r="C59" s="136" t="s">
        <v>174</v>
      </c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8"/>
      <c r="O59" s="129" t="s">
        <v>0</v>
      </c>
      <c r="P59" s="124"/>
      <c r="Q59" s="124"/>
      <c r="R59" s="124"/>
      <c r="S59" s="125"/>
      <c r="T59" s="129" t="s">
        <v>41</v>
      </c>
      <c r="U59" s="124"/>
      <c r="V59" s="124"/>
      <c r="W59" s="125"/>
      <c r="X59" s="129">
        <v>8</v>
      </c>
      <c r="Y59" s="124"/>
      <c r="Z59" s="125"/>
    </row>
    <row r="60" spans="1:26" s="6" customFormat="1" ht="16.5" customHeight="1">
      <c r="A60" s="58" t="s">
        <v>175</v>
      </c>
      <c r="B60" s="56" t="s">
        <v>176</v>
      </c>
      <c r="C60" s="136" t="s">
        <v>128</v>
      </c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8"/>
      <c r="O60" s="129" t="s">
        <v>118</v>
      </c>
      <c r="P60" s="124"/>
      <c r="Q60" s="124"/>
      <c r="R60" s="124"/>
      <c r="S60" s="125"/>
      <c r="T60" s="129" t="s">
        <v>177</v>
      </c>
      <c r="U60" s="124"/>
      <c r="V60" s="124"/>
      <c r="W60" s="125"/>
      <c r="X60" s="129">
        <v>1</v>
      </c>
      <c r="Y60" s="124"/>
      <c r="Z60" s="125"/>
    </row>
    <row r="61" spans="1:26" s="6" customFormat="1" ht="16.5" customHeight="1">
      <c r="A61" s="139" t="s">
        <v>178</v>
      </c>
      <c r="B61" s="56" t="s">
        <v>179</v>
      </c>
      <c r="C61" s="136" t="s">
        <v>161</v>
      </c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8"/>
      <c r="O61" s="129" t="s">
        <v>0</v>
      </c>
      <c r="P61" s="124"/>
      <c r="Q61" s="124"/>
      <c r="R61" s="124"/>
      <c r="S61" s="125"/>
      <c r="T61" s="129" t="s">
        <v>162</v>
      </c>
      <c r="U61" s="124"/>
      <c r="V61" s="124"/>
      <c r="W61" s="125"/>
      <c r="X61" s="129">
        <v>2</v>
      </c>
      <c r="Y61" s="124"/>
      <c r="Z61" s="125"/>
    </row>
    <row r="62" spans="1:26" s="6" customFormat="1" ht="16.5" customHeight="1">
      <c r="A62" s="140"/>
      <c r="B62" s="56" t="s">
        <v>180</v>
      </c>
      <c r="C62" s="136" t="s">
        <v>181</v>
      </c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8"/>
      <c r="O62" s="129" t="s">
        <v>0</v>
      </c>
      <c r="P62" s="124"/>
      <c r="Q62" s="124"/>
      <c r="R62" s="124"/>
      <c r="S62" s="125"/>
      <c r="T62" s="129" t="s">
        <v>182</v>
      </c>
      <c r="U62" s="124"/>
      <c r="V62" s="124"/>
      <c r="W62" s="125"/>
      <c r="X62" s="129">
        <v>1</v>
      </c>
      <c r="Y62" s="124"/>
      <c r="Z62" s="125"/>
    </row>
    <row r="63" spans="1:26" s="6" customFormat="1" ht="16.5" customHeight="1">
      <c r="A63" s="58" t="s">
        <v>183</v>
      </c>
      <c r="B63" s="56" t="s">
        <v>184</v>
      </c>
      <c r="C63" s="136" t="s">
        <v>132</v>
      </c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8"/>
      <c r="O63" s="129" t="s">
        <v>129</v>
      </c>
      <c r="P63" s="124"/>
      <c r="Q63" s="124"/>
      <c r="R63" s="124"/>
      <c r="S63" s="125"/>
      <c r="T63" s="129" t="s">
        <v>133</v>
      </c>
      <c r="U63" s="124"/>
      <c r="V63" s="124"/>
      <c r="W63" s="125"/>
      <c r="X63" s="129">
        <v>1</v>
      </c>
      <c r="Y63" s="124"/>
      <c r="Z63" s="125"/>
    </row>
    <row r="64" spans="1:26" s="6" customFormat="1" ht="16.5" customHeight="1">
      <c r="A64" s="58" t="s">
        <v>185</v>
      </c>
      <c r="B64" s="56" t="s">
        <v>186</v>
      </c>
      <c r="C64" s="136" t="s">
        <v>157</v>
      </c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8"/>
      <c r="O64" s="129" t="s">
        <v>158</v>
      </c>
      <c r="P64" s="124"/>
      <c r="Q64" s="124"/>
      <c r="R64" s="124"/>
      <c r="S64" s="125"/>
      <c r="T64" s="129" t="s">
        <v>159</v>
      </c>
      <c r="U64" s="124"/>
      <c r="V64" s="124"/>
      <c r="W64" s="125"/>
      <c r="X64" s="129">
        <v>1</v>
      </c>
      <c r="Y64" s="124"/>
      <c r="Z64" s="125"/>
    </row>
    <row r="65" spans="1:26" s="6" customFormat="1" ht="16.5" customHeight="1">
      <c r="A65" s="58" t="s">
        <v>187</v>
      </c>
      <c r="B65" s="56" t="s">
        <v>188</v>
      </c>
      <c r="C65" s="136" t="s">
        <v>117</v>
      </c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8"/>
      <c r="O65" s="129" t="s">
        <v>118</v>
      </c>
      <c r="P65" s="124"/>
      <c r="Q65" s="124"/>
      <c r="R65" s="124"/>
      <c r="S65" s="125"/>
      <c r="T65" s="129" t="s">
        <v>189</v>
      </c>
      <c r="U65" s="124"/>
      <c r="V65" s="124"/>
      <c r="W65" s="125"/>
      <c r="X65" s="129">
        <v>1</v>
      </c>
      <c r="Y65" s="124"/>
      <c r="Z65" s="125"/>
    </row>
    <row r="66" spans="1:26" s="6" customFormat="1" ht="16.5" customHeight="1">
      <c r="A66" s="58" t="s">
        <v>190</v>
      </c>
      <c r="B66" s="56" t="s">
        <v>191</v>
      </c>
      <c r="C66" s="136" t="s">
        <v>150</v>
      </c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8"/>
      <c r="O66" s="129" t="s">
        <v>118</v>
      </c>
      <c r="P66" s="124"/>
      <c r="Q66" s="124"/>
      <c r="R66" s="124"/>
      <c r="S66" s="125"/>
      <c r="T66" s="129" t="s">
        <v>151</v>
      </c>
      <c r="U66" s="124"/>
      <c r="V66" s="124"/>
      <c r="W66" s="125"/>
      <c r="X66" s="129">
        <v>1</v>
      </c>
      <c r="Y66" s="124"/>
      <c r="Z66" s="125"/>
    </row>
    <row r="67" spans="1:26" s="6" customFormat="1" ht="16.5" customHeight="1">
      <c r="A67" s="58" t="s">
        <v>192</v>
      </c>
      <c r="B67" s="56" t="s">
        <v>193</v>
      </c>
      <c r="C67" s="136" t="s">
        <v>194</v>
      </c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8"/>
      <c r="O67" s="129" t="s">
        <v>129</v>
      </c>
      <c r="P67" s="124"/>
      <c r="Q67" s="124"/>
      <c r="R67" s="124"/>
      <c r="S67" s="125"/>
      <c r="T67" s="129" t="s">
        <v>130</v>
      </c>
      <c r="U67" s="124"/>
      <c r="V67" s="124"/>
      <c r="W67" s="125"/>
      <c r="X67" s="129">
        <v>6</v>
      </c>
      <c r="Y67" s="124"/>
      <c r="Z67" s="125"/>
    </row>
    <row r="68" spans="1:26" s="6" customFormat="1" ht="16.5" customHeight="1">
      <c r="A68" s="56">
        <v>13</v>
      </c>
      <c r="B68" s="56" t="s">
        <v>195</v>
      </c>
      <c r="C68" s="123" t="s">
        <v>196</v>
      </c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5"/>
      <c r="O68" s="126" t="s">
        <v>118</v>
      </c>
      <c r="P68" s="127"/>
      <c r="Q68" s="127"/>
      <c r="R68" s="127"/>
      <c r="S68" s="128"/>
      <c r="T68" s="129" t="s">
        <v>119</v>
      </c>
      <c r="U68" s="124"/>
      <c r="V68" s="124"/>
      <c r="W68" s="125"/>
      <c r="X68" s="129">
        <v>1</v>
      </c>
      <c r="Y68" s="124"/>
      <c r="Z68" s="125"/>
    </row>
    <row r="69" spans="1:26" s="6" customFormat="1" ht="16.5" customHeight="1">
      <c r="A69" s="56" t="s">
        <v>3</v>
      </c>
      <c r="B69" s="56" t="s">
        <v>197</v>
      </c>
      <c r="C69" s="123" t="s">
        <v>198</v>
      </c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5"/>
      <c r="O69" s="126" t="s">
        <v>118</v>
      </c>
      <c r="P69" s="127"/>
      <c r="Q69" s="127"/>
      <c r="R69" s="127"/>
      <c r="S69" s="128"/>
      <c r="T69" s="129" t="s">
        <v>122</v>
      </c>
      <c r="U69" s="124"/>
      <c r="V69" s="124"/>
      <c r="W69" s="125"/>
      <c r="X69" s="129">
        <v>1</v>
      </c>
      <c r="Y69" s="124"/>
      <c r="Z69" s="125"/>
    </row>
    <row r="70" spans="1:26" s="6" customFormat="1" ht="16.5" customHeight="1">
      <c r="A70" s="56" t="s">
        <v>3</v>
      </c>
      <c r="B70" s="56" t="s">
        <v>199</v>
      </c>
      <c r="C70" s="123" t="s">
        <v>200</v>
      </c>
      <c r="D70" s="134"/>
      <c r="E70" s="134"/>
      <c r="F70" s="134"/>
      <c r="G70" s="134"/>
      <c r="H70" s="134"/>
      <c r="I70" s="134"/>
      <c r="J70" s="134"/>
      <c r="K70" s="134"/>
      <c r="L70" s="134"/>
      <c r="M70" s="134"/>
      <c r="N70" s="135"/>
      <c r="O70" s="126" t="s">
        <v>125</v>
      </c>
      <c r="P70" s="127"/>
      <c r="Q70" s="127"/>
      <c r="R70" s="127"/>
      <c r="S70" s="128"/>
      <c r="T70" s="129" t="s">
        <v>126</v>
      </c>
      <c r="U70" s="124"/>
      <c r="V70" s="124"/>
      <c r="W70" s="125"/>
      <c r="X70" s="129">
        <v>6</v>
      </c>
      <c r="Y70" s="124"/>
      <c r="Z70" s="125"/>
    </row>
    <row r="71" spans="1:26" s="6" customFormat="1" ht="16.5" customHeight="1">
      <c r="A71" s="56" t="s">
        <v>3</v>
      </c>
      <c r="B71" s="56" t="s">
        <v>201</v>
      </c>
      <c r="C71" s="123" t="s">
        <v>202</v>
      </c>
      <c r="D71" s="134"/>
      <c r="E71" s="134"/>
      <c r="F71" s="134"/>
      <c r="G71" s="134"/>
      <c r="H71" s="134"/>
      <c r="I71" s="134"/>
      <c r="J71" s="134"/>
      <c r="K71" s="134"/>
      <c r="L71" s="134"/>
      <c r="M71" s="134"/>
      <c r="N71" s="135"/>
      <c r="O71" s="126" t="s">
        <v>129</v>
      </c>
      <c r="P71" s="127"/>
      <c r="Q71" s="127"/>
      <c r="R71" s="127"/>
      <c r="S71" s="128"/>
      <c r="T71" s="129" t="s">
        <v>130</v>
      </c>
      <c r="U71" s="124"/>
      <c r="V71" s="124"/>
      <c r="W71" s="125"/>
      <c r="X71" s="129">
        <v>6</v>
      </c>
      <c r="Y71" s="124"/>
      <c r="Z71" s="125"/>
    </row>
    <row r="72" spans="1:26" s="6" customFormat="1" ht="16.5" customHeight="1">
      <c r="A72" s="56" t="s">
        <v>3</v>
      </c>
      <c r="B72" s="56" t="s">
        <v>203</v>
      </c>
      <c r="C72" s="123" t="s">
        <v>204</v>
      </c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5"/>
      <c r="O72" s="126" t="s">
        <v>129</v>
      </c>
      <c r="P72" s="127"/>
      <c r="Q72" s="127"/>
      <c r="R72" s="127"/>
      <c r="S72" s="128"/>
      <c r="T72" s="129" t="s">
        <v>133</v>
      </c>
      <c r="U72" s="124"/>
      <c r="V72" s="124"/>
      <c r="W72" s="125"/>
      <c r="X72" s="129">
        <v>6</v>
      </c>
      <c r="Y72" s="124"/>
      <c r="Z72" s="125"/>
    </row>
    <row r="73" spans="1:26" s="6" customFormat="1" ht="16.5" customHeight="1">
      <c r="A73" s="56">
        <v>14</v>
      </c>
      <c r="B73" s="9" t="s">
        <v>205</v>
      </c>
      <c r="C73" s="123" t="s">
        <v>206</v>
      </c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5"/>
      <c r="O73" s="126" t="s">
        <v>0</v>
      </c>
      <c r="P73" s="127"/>
      <c r="Q73" s="127"/>
      <c r="R73" s="127"/>
      <c r="S73" s="128"/>
      <c r="T73" s="129" t="s">
        <v>69</v>
      </c>
      <c r="U73" s="124"/>
      <c r="V73" s="124"/>
      <c r="W73" s="125"/>
      <c r="X73" s="131">
        <v>1</v>
      </c>
      <c r="Y73" s="132"/>
      <c r="Z73" s="133"/>
    </row>
    <row r="74" spans="1:26" s="6" customFormat="1" ht="16.5" customHeight="1">
      <c r="A74" s="56" t="s">
        <v>3</v>
      </c>
      <c r="B74" s="9" t="s">
        <v>207</v>
      </c>
      <c r="C74" s="123" t="s">
        <v>208</v>
      </c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5"/>
      <c r="O74" s="126" t="s">
        <v>0</v>
      </c>
      <c r="P74" s="127"/>
      <c r="Q74" s="127"/>
      <c r="R74" s="127"/>
      <c r="S74" s="128"/>
      <c r="T74" s="129" t="s">
        <v>148</v>
      </c>
      <c r="U74" s="124"/>
      <c r="V74" s="124"/>
      <c r="W74" s="125"/>
      <c r="X74" s="131">
        <v>4</v>
      </c>
      <c r="Y74" s="132"/>
      <c r="Z74" s="133"/>
    </row>
    <row r="75" spans="1:26" s="6" customFormat="1" ht="16.5" customHeight="1">
      <c r="A75" s="56" t="s">
        <v>3</v>
      </c>
      <c r="B75" s="9" t="s">
        <v>209</v>
      </c>
      <c r="C75" s="123" t="s">
        <v>210</v>
      </c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5"/>
      <c r="O75" s="126" t="s">
        <v>118</v>
      </c>
      <c r="P75" s="127"/>
      <c r="Q75" s="127"/>
      <c r="R75" s="127"/>
      <c r="S75" s="128"/>
      <c r="T75" s="129" t="s">
        <v>151</v>
      </c>
      <c r="U75" s="124"/>
      <c r="V75" s="124"/>
      <c r="W75" s="125"/>
      <c r="X75" s="131">
        <v>1</v>
      </c>
      <c r="Y75" s="132"/>
      <c r="Z75" s="133"/>
    </row>
    <row r="76" spans="1:26" s="6" customFormat="1" ht="16.5" customHeight="1">
      <c r="A76" s="56" t="s">
        <v>3</v>
      </c>
      <c r="B76" s="9" t="s">
        <v>211</v>
      </c>
      <c r="C76" s="123" t="s">
        <v>212</v>
      </c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5"/>
      <c r="O76" s="126" t="s">
        <v>118</v>
      </c>
      <c r="P76" s="127"/>
      <c r="Q76" s="127"/>
      <c r="R76" s="127"/>
      <c r="S76" s="128"/>
      <c r="T76" s="129" t="s">
        <v>154</v>
      </c>
      <c r="U76" s="124"/>
      <c r="V76" s="124"/>
      <c r="W76" s="125"/>
      <c r="X76" s="131">
        <v>1</v>
      </c>
      <c r="Y76" s="132"/>
      <c r="Z76" s="133"/>
    </row>
    <row r="77" spans="1:26" s="6" customFormat="1" ht="16.5" customHeight="1">
      <c r="A77" s="56">
        <v>15</v>
      </c>
      <c r="B77" s="56" t="s">
        <v>213</v>
      </c>
      <c r="C77" s="123" t="s">
        <v>214</v>
      </c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5"/>
      <c r="O77" s="129" t="s">
        <v>158</v>
      </c>
      <c r="P77" s="124"/>
      <c r="Q77" s="124"/>
      <c r="R77" s="124"/>
      <c r="S77" s="125"/>
      <c r="T77" s="129" t="s">
        <v>159</v>
      </c>
      <c r="U77" s="124"/>
      <c r="V77" s="124"/>
      <c r="W77" s="125"/>
      <c r="X77" s="129">
        <v>1</v>
      </c>
      <c r="Y77" s="124"/>
      <c r="Z77" s="125"/>
    </row>
    <row r="78" spans="1:26" s="6" customFormat="1" ht="16.5" customHeight="1">
      <c r="A78" s="56" t="s">
        <v>3</v>
      </c>
      <c r="B78" s="56" t="s">
        <v>215</v>
      </c>
      <c r="C78" s="123" t="s">
        <v>216</v>
      </c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5"/>
      <c r="O78" s="126" t="s">
        <v>0</v>
      </c>
      <c r="P78" s="127"/>
      <c r="Q78" s="127"/>
      <c r="R78" s="127"/>
      <c r="S78" s="128"/>
      <c r="T78" s="129" t="s">
        <v>162</v>
      </c>
      <c r="U78" s="124"/>
      <c r="V78" s="124"/>
      <c r="W78" s="125"/>
      <c r="X78" s="129">
        <v>2</v>
      </c>
      <c r="Y78" s="124"/>
      <c r="Z78" s="125"/>
    </row>
    <row r="79" spans="1:26" s="6" customFormat="1" ht="16.5" customHeight="1">
      <c r="A79" s="56" t="s">
        <v>3</v>
      </c>
      <c r="B79" s="56" t="s">
        <v>217</v>
      </c>
      <c r="C79" s="123" t="s">
        <v>218</v>
      </c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5"/>
      <c r="O79" s="126" t="s">
        <v>0</v>
      </c>
      <c r="P79" s="127"/>
      <c r="Q79" s="127"/>
      <c r="R79" s="127"/>
      <c r="S79" s="128"/>
      <c r="T79" s="129" t="s">
        <v>165</v>
      </c>
      <c r="U79" s="124"/>
      <c r="V79" s="124"/>
      <c r="W79" s="125"/>
      <c r="X79" s="129">
        <v>2</v>
      </c>
      <c r="Y79" s="124"/>
      <c r="Z79" s="125"/>
    </row>
    <row r="80" spans="1:26" s="6" customFormat="1" ht="16.5" customHeight="1">
      <c r="A80" s="56" t="s">
        <v>3</v>
      </c>
      <c r="B80" s="56" t="s">
        <v>219</v>
      </c>
      <c r="C80" s="123" t="s">
        <v>220</v>
      </c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5"/>
      <c r="O80" s="126" t="s">
        <v>0</v>
      </c>
      <c r="P80" s="127"/>
      <c r="Q80" s="127"/>
      <c r="R80" s="127"/>
      <c r="S80" s="128"/>
      <c r="T80" s="129" t="s">
        <v>168</v>
      </c>
      <c r="U80" s="124"/>
      <c r="V80" s="124"/>
      <c r="W80" s="125"/>
      <c r="X80" s="129">
        <v>2</v>
      </c>
      <c r="Y80" s="124"/>
      <c r="Z80" s="125"/>
    </row>
    <row r="81" spans="1:26" s="6" customFormat="1" ht="16.5" customHeight="1">
      <c r="A81" s="56" t="s">
        <v>3</v>
      </c>
      <c r="B81" s="56" t="s">
        <v>221</v>
      </c>
      <c r="C81" s="123" t="s">
        <v>222</v>
      </c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5"/>
      <c r="O81" s="126" t="s">
        <v>0</v>
      </c>
      <c r="P81" s="127"/>
      <c r="Q81" s="127"/>
      <c r="R81" s="127"/>
      <c r="S81" s="128"/>
      <c r="T81" s="129" t="s">
        <v>171</v>
      </c>
      <c r="U81" s="124"/>
      <c r="V81" s="124"/>
      <c r="W81" s="125"/>
      <c r="X81" s="129">
        <v>2</v>
      </c>
      <c r="Y81" s="124"/>
      <c r="Z81" s="125"/>
    </row>
    <row r="82" spans="1:26" s="6" customFormat="1" ht="20.399999999999999" customHeight="1">
      <c r="A82" s="7" t="s">
        <v>3</v>
      </c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spans="1:26" ht="15.6">
      <c r="A83" s="59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</sheetData>
  <mergeCells count="270">
    <mergeCell ref="A6:Z6"/>
    <mergeCell ref="A7:B7"/>
    <mergeCell ref="G8:J8"/>
    <mergeCell ref="A9:B9"/>
    <mergeCell ref="G9:J9"/>
    <mergeCell ref="S9:V10"/>
    <mergeCell ref="D10:F10"/>
    <mergeCell ref="G10:J10"/>
    <mergeCell ref="G7:M7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A1:V5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77:N77"/>
    <mergeCell ref="O77:S77"/>
    <mergeCell ref="T77:W77"/>
    <mergeCell ref="X77:Z77"/>
    <mergeCell ref="C78:N78"/>
    <mergeCell ref="O78:S78"/>
    <mergeCell ref="T78:W78"/>
  </mergeCells>
  <pageMargins left="0.45" right="0.7" top="0.7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384C-7B54-426F-A487-A2224A81C451}">
  <sheetPr>
    <pageSetUpPr fitToPage="1"/>
  </sheetPr>
  <dimension ref="A1:Z28"/>
  <sheetViews>
    <sheetView workbookViewId="0">
      <selection activeCell="G8" sqref="G8:J8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 customHeight="1">
      <c r="A1" s="122" t="s">
        <v>72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47"/>
      <c r="X1" s="47"/>
      <c r="Y1" s="47"/>
      <c r="Z1" s="47"/>
    </row>
    <row r="2" spans="1:26" ht="15" customHeight="1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47"/>
      <c r="X2" s="47"/>
      <c r="Y2" s="47"/>
      <c r="Z2" s="47"/>
    </row>
    <row r="3" spans="1:26" ht="15" customHeight="1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47"/>
      <c r="X3" s="47"/>
      <c r="Y3" s="47"/>
      <c r="Z3" s="47"/>
    </row>
    <row r="4" spans="1:26" ht="15" customHeight="1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47"/>
      <c r="X4" s="47"/>
      <c r="Y4" s="47"/>
      <c r="Z4" s="47"/>
    </row>
    <row r="5" spans="1:26" ht="15" customHeight="1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47"/>
      <c r="X5" s="47"/>
      <c r="Y5" s="47"/>
      <c r="Z5" s="47"/>
    </row>
    <row r="6" spans="1:26" ht="30">
      <c r="A6" s="187" t="s">
        <v>73</v>
      </c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spans="1:26" s="6" customFormat="1" ht="17.399999999999999">
      <c r="A7" s="188" t="s">
        <v>73</v>
      </c>
      <c r="B7" s="188"/>
      <c r="C7" s="40" t="s">
        <v>74</v>
      </c>
      <c r="E7" s="14"/>
      <c r="F7" s="14"/>
      <c r="G7" s="191" t="str">
        <f>'ใบงาน Agilent_JOB 5'!F7</f>
        <v>xxxx</v>
      </c>
      <c r="H7" s="191"/>
      <c r="I7" s="191"/>
      <c r="J7" s="191"/>
      <c r="K7" s="191"/>
      <c r="L7" s="14"/>
      <c r="M7" s="14"/>
      <c r="N7" s="14"/>
      <c r="O7" s="14"/>
      <c r="P7" s="14"/>
      <c r="Q7" s="14"/>
      <c r="R7" s="14"/>
      <c r="S7" s="48" t="s">
        <v>50</v>
      </c>
      <c r="W7" s="192" t="str">
        <f>'ใบงาน Agilent_JOB 5'!M7</f>
        <v>xxx</v>
      </c>
      <c r="X7" s="192"/>
      <c r="Y7" s="192"/>
      <c r="Z7" s="76"/>
    </row>
    <row r="8" spans="1:26" s="6" customFormat="1" ht="19.95" customHeight="1">
      <c r="A8" s="62" t="s">
        <v>75</v>
      </c>
      <c r="B8" s="63" t="str">
        <f>'ใบงาน Agilent_JOB 5'!F8</f>
        <v>K9801-60091</v>
      </c>
      <c r="C8" s="63" t="s">
        <v>76</v>
      </c>
      <c r="D8" s="63"/>
      <c r="E8" s="63"/>
      <c r="F8" s="63"/>
      <c r="G8" s="189" t="str">
        <f>'ใบงาน Agilent_JOB 5'!F9</f>
        <v>-</v>
      </c>
      <c r="H8" s="189"/>
      <c r="I8" s="189"/>
      <c r="J8" s="189"/>
      <c r="K8" s="39"/>
      <c r="L8" s="39"/>
      <c r="M8" s="39"/>
      <c r="N8" s="39"/>
      <c r="O8" s="39"/>
      <c r="P8" s="39"/>
      <c r="Q8" s="39"/>
      <c r="R8" s="39"/>
      <c r="S8" s="39" t="s">
        <v>225</v>
      </c>
      <c r="T8" s="39"/>
      <c r="X8" s="6" t="str">
        <f>'ใบงาน Agilent_JOB 5'!M9</f>
        <v>PO12345</v>
      </c>
    </row>
    <row r="9" spans="1:26" s="6" customFormat="1" ht="13.8">
      <c r="A9" s="190" t="s">
        <v>3</v>
      </c>
      <c r="B9" s="190"/>
      <c r="C9" s="65"/>
      <c r="D9" s="65"/>
      <c r="E9" s="65"/>
      <c r="F9" s="65"/>
      <c r="G9" s="189" t="s">
        <v>3</v>
      </c>
      <c r="H9" s="189"/>
      <c r="I9" s="189"/>
      <c r="J9" s="189"/>
      <c r="L9" s="14"/>
      <c r="M9" s="14"/>
      <c r="N9" s="14"/>
      <c r="O9" s="14"/>
      <c r="P9" s="14"/>
      <c r="Q9" s="14"/>
      <c r="R9" s="14"/>
      <c r="S9" s="78" t="s">
        <v>65</v>
      </c>
      <c r="T9" s="78"/>
      <c r="U9" s="78"/>
      <c r="V9" s="78"/>
    </row>
    <row r="10" spans="1:26" s="6" customFormat="1" ht="13.8">
      <c r="A10" s="63" t="s">
        <v>77</v>
      </c>
      <c r="B10" s="49">
        <f>'ใบงาน Agilent_JOB 5'!M8/50</f>
        <v>40</v>
      </c>
      <c r="C10" s="49"/>
      <c r="D10" s="180" t="s">
        <v>3</v>
      </c>
      <c r="E10" s="180"/>
      <c r="F10" s="180"/>
      <c r="G10" s="180" t="s">
        <v>3</v>
      </c>
      <c r="H10" s="180"/>
      <c r="I10" s="180"/>
      <c r="J10" s="180"/>
      <c r="K10" s="40"/>
      <c r="L10" s="14"/>
      <c r="M10" s="14"/>
      <c r="N10" s="14"/>
      <c r="O10" s="14"/>
      <c r="P10" s="14"/>
      <c r="Q10" s="14"/>
      <c r="R10" s="14"/>
      <c r="S10" s="78"/>
      <c r="T10" s="78"/>
      <c r="U10" s="78"/>
      <c r="V10" s="78"/>
    </row>
    <row r="11" spans="1:26" s="6" customFormat="1" ht="13.8">
      <c r="A11" s="65"/>
      <c r="B11" s="180"/>
      <c r="C11" s="49"/>
      <c r="D11" s="49"/>
      <c r="E11" s="49"/>
      <c r="F11" s="49"/>
      <c r="G11" s="180" t="s">
        <v>3</v>
      </c>
      <c r="H11" s="180"/>
      <c r="I11" s="180"/>
      <c r="J11" s="180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spans="1:26" s="6" customFormat="1" ht="13.8">
      <c r="A12" s="49" t="s">
        <v>78</v>
      </c>
      <c r="B12" s="180"/>
      <c r="C12" s="49"/>
      <c r="D12" s="49"/>
      <c r="E12" s="49"/>
      <c r="F12" s="49"/>
      <c r="G12" s="180" t="s">
        <v>3</v>
      </c>
      <c r="H12" s="180"/>
      <c r="I12" s="180"/>
      <c r="J12" s="180"/>
      <c r="K12" s="14"/>
      <c r="L12" s="14"/>
      <c r="M12" s="14"/>
      <c r="N12" s="14"/>
      <c r="O12" s="14"/>
      <c r="P12" s="14"/>
      <c r="Q12" s="14"/>
      <c r="R12" s="14"/>
      <c r="S12" s="14"/>
      <c r="T12" s="14"/>
    </row>
    <row r="13" spans="1:26" s="6" customFormat="1" ht="13.8">
      <c r="A13" s="49"/>
      <c r="B13" s="197"/>
      <c r="C13" s="49"/>
      <c r="D13" s="49"/>
      <c r="E13" s="49"/>
      <c r="F13" s="49"/>
      <c r="G13" s="64"/>
      <c r="H13" s="49"/>
      <c r="I13" s="49"/>
      <c r="J13" s="49"/>
      <c r="K13" s="14"/>
      <c r="L13" s="14"/>
      <c r="M13" s="14"/>
      <c r="N13" s="14"/>
      <c r="O13" s="14"/>
      <c r="P13" s="14"/>
      <c r="Q13" s="14"/>
      <c r="R13" s="14"/>
      <c r="S13" s="14"/>
      <c r="T13" s="14"/>
    </row>
    <row r="14" spans="1:26" s="6" customFormat="1" ht="13.8">
      <c r="A14" s="110" t="s">
        <v>15</v>
      </c>
      <c r="B14" s="110" t="s">
        <v>79</v>
      </c>
      <c r="C14" s="173" t="s">
        <v>80</v>
      </c>
      <c r="D14" s="174"/>
      <c r="E14" s="174"/>
      <c r="F14" s="174"/>
      <c r="G14" s="174"/>
      <c r="H14" s="175"/>
      <c r="I14" s="173" t="s">
        <v>21</v>
      </c>
      <c r="J14" s="174"/>
      <c r="K14" s="174"/>
      <c r="L14" s="174"/>
      <c r="M14" s="174"/>
      <c r="N14" s="175"/>
      <c r="O14" s="173" t="s">
        <v>22</v>
      </c>
      <c r="P14" s="174"/>
      <c r="Q14" s="174"/>
      <c r="R14" s="174"/>
      <c r="S14" s="174"/>
      <c r="T14" s="175"/>
      <c r="U14" s="196" t="s">
        <v>81</v>
      </c>
      <c r="V14" s="182"/>
      <c r="W14" s="182"/>
      <c r="X14" s="182"/>
      <c r="Y14" s="182"/>
      <c r="Z14" s="183"/>
    </row>
    <row r="15" spans="1:26" s="6" customFormat="1" ht="13.8">
      <c r="A15" s="112"/>
      <c r="B15" s="112"/>
      <c r="C15" s="176"/>
      <c r="D15" s="177"/>
      <c r="E15" s="177"/>
      <c r="F15" s="177"/>
      <c r="G15" s="177"/>
      <c r="H15" s="178"/>
      <c r="I15" s="176"/>
      <c r="J15" s="177"/>
      <c r="K15" s="177"/>
      <c r="L15" s="177"/>
      <c r="M15" s="177"/>
      <c r="N15" s="178"/>
      <c r="O15" s="176"/>
      <c r="P15" s="177"/>
      <c r="Q15" s="177"/>
      <c r="R15" s="177"/>
      <c r="S15" s="177"/>
      <c r="T15" s="178"/>
      <c r="U15" s="184"/>
      <c r="V15" s="185"/>
      <c r="W15" s="185"/>
      <c r="X15" s="185"/>
      <c r="Y15" s="185"/>
      <c r="Z15" s="186"/>
    </row>
    <row r="16" spans="1:26" s="51" customFormat="1" ht="17.399999999999999">
      <c r="A16" s="170">
        <v>1</v>
      </c>
      <c r="B16" s="50" t="s">
        <v>82</v>
      </c>
      <c r="C16" s="193"/>
      <c r="D16" s="194"/>
      <c r="E16" s="194"/>
      <c r="F16" s="194"/>
      <c r="G16" s="194"/>
      <c r="H16" s="195"/>
      <c r="I16" s="193"/>
      <c r="J16" s="194"/>
      <c r="K16" s="194"/>
      <c r="L16" s="194"/>
      <c r="M16" s="194"/>
      <c r="N16" s="195"/>
      <c r="O16" s="193"/>
      <c r="P16" s="194"/>
      <c r="Q16" s="194"/>
      <c r="R16" s="194"/>
      <c r="S16" s="194"/>
      <c r="T16" s="195"/>
      <c r="U16" s="193"/>
      <c r="V16" s="194"/>
      <c r="W16" s="194"/>
      <c r="X16" s="194"/>
      <c r="Y16" s="194"/>
      <c r="Z16" s="195"/>
    </row>
    <row r="17" spans="1:26" s="51" customFormat="1" ht="17.399999999999999">
      <c r="A17" s="171"/>
      <c r="B17" s="50" t="s">
        <v>83</v>
      </c>
      <c r="C17" s="193"/>
      <c r="D17" s="194"/>
      <c r="E17" s="194"/>
      <c r="F17" s="194"/>
      <c r="G17" s="194"/>
      <c r="H17" s="195"/>
      <c r="I17" s="193"/>
      <c r="J17" s="194"/>
      <c r="K17" s="194"/>
      <c r="L17" s="194"/>
      <c r="M17" s="194"/>
      <c r="N17" s="195"/>
      <c r="O17" s="193"/>
      <c r="P17" s="194"/>
      <c r="Q17" s="194"/>
      <c r="R17" s="194"/>
      <c r="S17" s="194"/>
      <c r="T17" s="195"/>
      <c r="U17" s="193"/>
      <c r="V17" s="194"/>
      <c r="W17" s="194"/>
      <c r="X17" s="194"/>
      <c r="Y17" s="194"/>
      <c r="Z17" s="195"/>
    </row>
    <row r="18" spans="1:26" s="51" customFormat="1" ht="17.399999999999999">
      <c r="A18" s="171"/>
      <c r="B18" s="50" t="s">
        <v>84</v>
      </c>
      <c r="C18" s="193"/>
      <c r="D18" s="194"/>
      <c r="E18" s="194"/>
      <c r="F18" s="194"/>
      <c r="G18" s="194"/>
      <c r="H18" s="195"/>
      <c r="I18" s="193"/>
      <c r="J18" s="194"/>
      <c r="K18" s="194"/>
      <c r="L18" s="194"/>
      <c r="M18" s="194"/>
      <c r="N18" s="195"/>
      <c r="O18" s="193"/>
      <c r="P18" s="194"/>
      <c r="Q18" s="194"/>
      <c r="R18" s="194"/>
      <c r="S18" s="194"/>
      <c r="T18" s="195"/>
      <c r="U18" s="193"/>
      <c r="V18" s="194"/>
      <c r="W18" s="194"/>
      <c r="X18" s="194"/>
      <c r="Y18" s="194"/>
      <c r="Z18" s="195"/>
    </row>
    <row r="19" spans="1:26" s="51" customFormat="1" ht="17.399999999999999">
      <c r="A19" s="171"/>
      <c r="B19" s="50" t="s">
        <v>85</v>
      </c>
      <c r="C19" s="193"/>
      <c r="D19" s="194"/>
      <c r="E19" s="194"/>
      <c r="F19" s="194"/>
      <c r="G19" s="194"/>
      <c r="H19" s="195"/>
      <c r="I19" s="193"/>
      <c r="J19" s="194"/>
      <c r="K19" s="194"/>
      <c r="L19" s="194"/>
      <c r="M19" s="194"/>
      <c r="N19" s="195"/>
      <c r="O19" s="193"/>
      <c r="P19" s="194"/>
      <c r="Q19" s="194"/>
      <c r="R19" s="194"/>
      <c r="S19" s="194"/>
      <c r="T19" s="195"/>
      <c r="U19" s="193"/>
      <c r="V19" s="194"/>
      <c r="W19" s="194"/>
      <c r="X19" s="194"/>
      <c r="Y19" s="194"/>
      <c r="Z19" s="195"/>
    </row>
    <row r="20" spans="1:26" s="51" customFormat="1" ht="17.399999999999999">
      <c r="A20" s="172"/>
      <c r="B20" s="50" t="s">
        <v>86</v>
      </c>
      <c r="C20" s="193"/>
      <c r="D20" s="194"/>
      <c r="E20" s="194"/>
      <c r="F20" s="194"/>
      <c r="G20" s="194"/>
      <c r="H20" s="195"/>
      <c r="I20" s="193"/>
      <c r="J20" s="194"/>
      <c r="K20" s="194"/>
      <c r="L20" s="194"/>
      <c r="M20" s="194"/>
      <c r="N20" s="195"/>
      <c r="O20" s="193"/>
      <c r="P20" s="194"/>
      <c r="Q20" s="194"/>
      <c r="R20" s="194"/>
      <c r="S20" s="194"/>
      <c r="T20" s="195"/>
      <c r="U20" s="193"/>
      <c r="V20" s="194"/>
      <c r="W20" s="194"/>
      <c r="X20" s="194"/>
      <c r="Y20" s="194"/>
      <c r="Z20" s="195"/>
    </row>
    <row r="21" spans="1:26" s="51" customFormat="1" ht="17.399999999999999">
      <c r="A21" s="52">
        <v>2</v>
      </c>
      <c r="B21" s="53" t="s">
        <v>87</v>
      </c>
      <c r="C21" s="193"/>
      <c r="D21" s="194"/>
      <c r="E21" s="194"/>
      <c r="F21" s="194"/>
      <c r="G21" s="194"/>
      <c r="H21" s="195"/>
      <c r="I21" s="193"/>
      <c r="J21" s="194"/>
      <c r="K21" s="194"/>
      <c r="L21" s="194"/>
      <c r="M21" s="194"/>
      <c r="N21" s="195"/>
      <c r="O21" s="193"/>
      <c r="P21" s="194"/>
      <c r="Q21" s="194"/>
      <c r="R21" s="194"/>
      <c r="S21" s="194"/>
      <c r="T21" s="195"/>
      <c r="U21" s="193"/>
      <c r="V21" s="194"/>
      <c r="W21" s="194"/>
      <c r="X21" s="194"/>
      <c r="Y21" s="194"/>
      <c r="Z21" s="195"/>
    </row>
    <row r="22" spans="1:26" s="51" customFormat="1" ht="17.399999999999999">
      <c r="A22" s="52">
        <v>3</v>
      </c>
      <c r="B22" s="53" t="s">
        <v>88</v>
      </c>
      <c r="C22" s="193"/>
      <c r="D22" s="194"/>
      <c r="E22" s="194"/>
      <c r="F22" s="194"/>
      <c r="G22" s="194"/>
      <c r="H22" s="195"/>
      <c r="I22" s="193"/>
      <c r="J22" s="194"/>
      <c r="K22" s="194"/>
      <c r="L22" s="194"/>
      <c r="M22" s="194"/>
      <c r="N22" s="195"/>
      <c r="O22" s="193"/>
      <c r="P22" s="194"/>
      <c r="Q22" s="194"/>
      <c r="R22" s="194"/>
      <c r="S22" s="194"/>
      <c r="T22" s="195"/>
      <c r="U22" s="193"/>
      <c r="V22" s="194"/>
      <c r="W22" s="194"/>
      <c r="X22" s="194"/>
      <c r="Y22" s="194"/>
      <c r="Z22" s="195"/>
    </row>
    <row r="23" spans="1:26" s="51" customFormat="1" ht="17.399999999999999">
      <c r="A23" s="52">
        <v>4</v>
      </c>
      <c r="B23" s="53" t="s">
        <v>89</v>
      </c>
      <c r="C23" s="193"/>
      <c r="D23" s="194"/>
      <c r="E23" s="194"/>
      <c r="F23" s="194"/>
      <c r="G23" s="194"/>
      <c r="H23" s="195"/>
      <c r="I23" s="193"/>
      <c r="J23" s="194"/>
      <c r="K23" s="194"/>
      <c r="L23" s="194"/>
      <c r="M23" s="194"/>
      <c r="N23" s="195"/>
      <c r="O23" s="193"/>
      <c r="P23" s="194"/>
      <c r="Q23" s="194"/>
      <c r="R23" s="194"/>
      <c r="S23" s="194"/>
      <c r="T23" s="195"/>
      <c r="U23" s="193"/>
      <c r="V23" s="194"/>
      <c r="W23" s="194"/>
      <c r="X23" s="194"/>
      <c r="Y23" s="194"/>
      <c r="Z23" s="195"/>
    </row>
    <row r="24" spans="1:26" s="6" customFormat="1" ht="13.8">
      <c r="A24" s="7"/>
      <c r="C24" s="130"/>
      <c r="D24" s="130"/>
      <c r="E24" s="130"/>
      <c r="F24" s="130"/>
    </row>
    <row r="25" spans="1:26" s="55" customFormat="1" ht="15">
      <c r="A25" s="54"/>
      <c r="L25" s="162"/>
      <c r="M25" s="162"/>
    </row>
    <row r="26" spans="1:26" s="6" customFormat="1" ht="13.8">
      <c r="A26" s="7"/>
      <c r="L26" s="150"/>
      <c r="M26" s="150"/>
    </row>
    <row r="27" spans="1:26" s="6" customFormat="1" ht="13.8">
      <c r="A27" s="7"/>
      <c r="L27" s="150"/>
      <c r="M27" s="150"/>
    </row>
    <row r="28" spans="1:26" s="6" customFormat="1" ht="13.8">
      <c r="A28" s="7"/>
      <c r="L28" s="150"/>
      <c r="M28" s="150"/>
    </row>
  </sheetData>
  <mergeCells count="58">
    <mergeCell ref="A14:A15"/>
    <mergeCell ref="B14:B15"/>
    <mergeCell ref="C14:H15"/>
    <mergeCell ref="I14:N15"/>
    <mergeCell ref="A1:V5"/>
    <mergeCell ref="A6:Z6"/>
    <mergeCell ref="A7:B7"/>
    <mergeCell ref="G8:J8"/>
    <mergeCell ref="A9:B9"/>
    <mergeCell ref="G9:J9"/>
    <mergeCell ref="S9:V10"/>
    <mergeCell ref="D10:F10"/>
    <mergeCell ref="G10:J10"/>
    <mergeCell ref="G7:K7"/>
    <mergeCell ref="C19:H19"/>
    <mergeCell ref="I19:N19"/>
    <mergeCell ref="O19:T19"/>
    <mergeCell ref="B11:B13"/>
    <mergeCell ref="G11:J11"/>
    <mergeCell ref="G12:J12"/>
    <mergeCell ref="C22:H22"/>
    <mergeCell ref="I22:N22"/>
    <mergeCell ref="O22:T22"/>
    <mergeCell ref="U22:Z22"/>
    <mergeCell ref="A16:A20"/>
    <mergeCell ref="C16:H16"/>
    <mergeCell ref="I16:N16"/>
    <mergeCell ref="O16:T16"/>
    <mergeCell ref="U16:Z16"/>
    <mergeCell ref="C17:H17"/>
    <mergeCell ref="I17:N17"/>
    <mergeCell ref="O17:T17"/>
    <mergeCell ref="U17:Z17"/>
    <mergeCell ref="C18:H18"/>
    <mergeCell ref="I18:N18"/>
    <mergeCell ref="O18:T18"/>
    <mergeCell ref="C20:H20"/>
    <mergeCell ref="I20:N20"/>
    <mergeCell ref="O20:T20"/>
    <mergeCell ref="U20:Z20"/>
    <mergeCell ref="C21:H21"/>
    <mergeCell ref="I21:N21"/>
    <mergeCell ref="O21:T21"/>
    <mergeCell ref="U21:Z21"/>
    <mergeCell ref="C24:F24"/>
    <mergeCell ref="L25:M25"/>
    <mergeCell ref="C23:H23"/>
    <mergeCell ref="I23:N23"/>
    <mergeCell ref="O23:T23"/>
    <mergeCell ref="L26:M26"/>
    <mergeCell ref="L27:M27"/>
    <mergeCell ref="L28:M28"/>
    <mergeCell ref="W7:Y7"/>
    <mergeCell ref="U19:Z19"/>
    <mergeCell ref="O14:T15"/>
    <mergeCell ref="U14:Z15"/>
    <mergeCell ref="U23:Z23"/>
    <mergeCell ref="U18:Z18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5</vt:lpstr>
      <vt:lpstr>A2-QCถุง</vt:lpstr>
      <vt:lpstr>P2-QCกล่อง</vt:lpstr>
      <vt:lpstr>'ใบงาน Agilent_JOB 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2026-08-03T02:41:41Z</cp:lastPrinted>
  <dcterms:created xsi:type="dcterms:W3CDTF">2022-12-02T03:16:26Z</dcterms:created>
  <dcterms:modified xsi:type="dcterms:W3CDTF">2026-08-11T03:46:16Z</dcterms:modified>
</cp:coreProperties>
</file>