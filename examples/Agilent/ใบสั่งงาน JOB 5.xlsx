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fa44234d445c58/Contract mfg/Agilent/A1 ใบสั่งงาน/ใบสั่งงานฉบับแก้ไข/ฟอร์มใบสั่งงาน/"/>
    </mc:Choice>
  </mc:AlternateContent>
  <xr:revisionPtr revIDLastSave="105" documentId="13_ncr:1_{6E68275D-785B-462A-BC3B-7768D6687EB3}" xr6:coauthVersionLast="47" xr6:coauthVersionMax="47" xr10:uidLastSave="{7509D51A-34D0-4D3D-983E-F80A14F122FA}"/>
  <bookViews>
    <workbookView xWindow="-98" yWindow="-98" windowWidth="21795" windowHeight="12975" tabRatio="958" activeTab="1" xr2:uid="{4F180DBB-2D27-44A5-BB20-72766F3B0AE8}"/>
  </bookViews>
  <sheets>
    <sheet name="ใบงาน Agilent_JOB 5" sheetId="4" r:id="rId1"/>
    <sheet name="A2-QCถุง" sheetId="7" r:id="rId2"/>
    <sheet name="P2-QCกล่อง" sheetId="5" r:id="rId3"/>
  </sheets>
  <definedNames>
    <definedName name="_xlnm.Print_Area" localSheetId="0">'ใบงาน Agilent_JOB 5'!$A$1:$O$37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" i="7" l="1"/>
  <c r="G7" i="5"/>
  <c r="W7" i="5"/>
  <c r="B10" i="5"/>
  <c r="X8" i="5"/>
  <c r="B10" i="7"/>
  <c r="G7" i="7"/>
  <c r="B8" i="5"/>
  <c r="G8" i="5"/>
  <c r="G8" i="7"/>
  <c r="F30" i="4"/>
  <c r="D22" i="4"/>
  <c r="D21" i="4"/>
  <c r="E17" i="4" l="1"/>
  <c r="G17" i="4" s="1"/>
  <c r="H17" i="4" s="1"/>
</calcChain>
</file>

<file path=xl/sharedStrings.xml><?xml version="1.0" encoding="utf-8"?>
<sst xmlns="http://schemas.openxmlformats.org/spreadsheetml/2006/main" count="356" uniqueCount="228">
  <si>
    <t>ABW00018</t>
  </si>
  <si>
    <t>+5.00</t>
  </si>
  <si>
    <t>Tolerance</t>
  </si>
  <si>
    <t xml:space="preserve"> </t>
  </si>
  <si>
    <t>วันที่</t>
  </si>
  <si>
    <t>ลูกค้า</t>
  </si>
  <si>
    <t>แผนก</t>
  </si>
  <si>
    <t>สายยาง</t>
  </si>
  <si>
    <t>M</t>
  </si>
  <si>
    <t>สติกเกอร์</t>
  </si>
  <si>
    <t>5 x 8 ซม</t>
  </si>
  <si>
    <t>จำนวนชุดที่ต้องการ</t>
  </si>
  <si>
    <t>จำนวน/ ชุด</t>
  </si>
  <si>
    <t>รุ่น</t>
  </si>
  <si>
    <t>รายละเอียด</t>
  </si>
  <si>
    <t>ลำดับ</t>
  </si>
  <si>
    <t>รายละเอียดสติกเกอร์</t>
  </si>
  <si>
    <t>รายละเอียดบนสติกเกอร์</t>
  </si>
  <si>
    <t>ขนาดถุง</t>
  </si>
  <si>
    <t>จำนวนที่ตรวจสอบรายละเอียดของถุงและสติกเกอร์บนถุง</t>
  </si>
  <si>
    <t>จำนวนที่ตรวจสอบความยาวของสายยาง</t>
  </si>
  <si>
    <t>จำนวนที่ผ่าน</t>
  </si>
  <si>
    <t>จำนวนที่ไม่ผ่าน</t>
  </si>
  <si>
    <t>ความยาวที่รับได้</t>
  </si>
  <si>
    <t>ความยาวที่ต้องการ</t>
  </si>
  <si>
    <t>ไม้บรรทัดเหล็ก</t>
  </si>
  <si>
    <t>ขนาด 100 เซนติเมตร</t>
  </si>
  <si>
    <t>การตรวจสอบคุณภาพการบรรจุ</t>
  </si>
  <si>
    <t>จำนวนสายยาง/ ถุง</t>
  </si>
  <si>
    <t>วัสดุที่เบิกใช้ในการตัดสายยาง</t>
  </si>
  <si>
    <t>แท่งพลาสติคเพื่อใช้ตัดสายยาง</t>
  </si>
  <si>
    <t>จำนวนกล่องของสายยางที่เบิกทั้งหมด</t>
  </si>
  <si>
    <t>จำนวนสายยางที่เบิกเป็นมิลลิเมตร</t>
  </si>
  <si>
    <t>ควายยาวสายยาง(ฟุต)ต่อกล่อง</t>
  </si>
  <si>
    <t xml:space="preserve">ใบงานตัดสายยางและ บรรจุ  </t>
  </si>
  <si>
    <t>อาจิแลนจ์ (Agilent)</t>
  </si>
  <si>
    <t>ผลิต (Production)</t>
  </si>
  <si>
    <t>กล่องพลาสติคใส่สายยางพร้อมฝาปิดกันฝุ่น</t>
  </si>
  <si>
    <t>1 เส้น</t>
  </si>
  <si>
    <t>P-95802-13</t>
  </si>
  <si>
    <t>JOB 5</t>
  </si>
  <si>
    <t>K9801-60091</t>
  </si>
  <si>
    <t>Tubing, Waste Bottles (2L and 4 L)</t>
  </si>
  <si>
    <t>ABW00018/K9801-60091</t>
  </si>
  <si>
    <t>1 กล่อง</t>
  </si>
  <si>
    <t>OD/ID: 7/16"(11.1125mm) 1/4"(6.3500mm)</t>
  </si>
  <si>
    <t>แผ่นยางสำหรับกำจัดฝุ่น</t>
  </si>
  <si>
    <t>1 แผ่น</t>
  </si>
  <si>
    <r>
      <t>บริษัท แวตสก้า จำกัด/ Vatska Company Limited</t>
    </r>
    <r>
      <rPr>
        <sz val="16"/>
        <color theme="1"/>
        <rFont val="Angsana New"/>
        <family val="1"/>
      </rPr>
      <t xml:space="preserve">
53/2 ต. อ้อมเกร็ด อ. ปากเกร็ด จ. นนทบุรี 11120/ 53/2 T. Om-Kred A. Pakkred Nonthaburi 11120 Thailand
โทร. +662 9244161 อีเมล: sales@vatska.com/ Tel: +662 9244161 E-mail: sales@vatska.com </t>
    </r>
  </si>
  <si>
    <t>Lot No:</t>
  </si>
  <si>
    <t>เลขที่ใบงาน RI</t>
  </si>
  <si>
    <t>ลายเซ็นต์</t>
  </si>
  <si>
    <t>1 อัน</t>
  </si>
  <si>
    <t>ถุงพลาสติค packing</t>
  </si>
  <si>
    <t xml:space="preserve">ตารางเบิกสายยาง </t>
  </si>
  <si>
    <t xml:space="preserve">วันที่ </t>
  </si>
  <si>
    <t>จำนวน/ม้วน</t>
  </si>
  <si>
    <t>Lot number ของสายยาง</t>
  </si>
  <si>
    <t>จำนวนที่ตรวจสอบความยาวของสายยาง (MM)</t>
  </si>
  <si>
    <t>ในกรณีใช้สายยางไม่เต็มม้วน จะต้องนำไปใช้งานต่อสำหรับ JOB อื่นๆ</t>
  </si>
  <si>
    <t>609.6-614.6</t>
  </si>
  <si>
    <t>การตรวจสอบคุณภาพก่อนบรรจุ  / QC in process</t>
  </si>
  <si>
    <t>จำนวนสายยางที่ตัดได้(เส้น)</t>
  </si>
  <si>
    <t>ถุงพลาสติค XL</t>
  </si>
  <si>
    <t>10x15 นิ้ว</t>
  </si>
  <si>
    <t>Copy to sticker</t>
  </si>
  <si>
    <t>AGA</t>
  </si>
  <si>
    <t>MPN:</t>
  </si>
  <si>
    <t>Children PN:</t>
  </si>
  <si>
    <t>K9801-60092</t>
  </si>
  <si>
    <t>Customer PO</t>
  </si>
  <si>
    <t>QR CODE</t>
  </si>
  <si>
    <r>
      <t>บริษัท แวตสก้า จำกัด/ Vatska Company Limited</t>
    </r>
    <r>
      <rPr>
        <sz val="18"/>
        <color theme="1"/>
        <rFont val="Angsana New"/>
        <family val="1"/>
      </rPr>
      <t xml:space="preserve">
53/2 ต. อ้อมเกร็ด อ. ปากเกร็ด จ. นนทบุรี 11120/ 53/2 T. Om-Kred A. Pakkred 
Nonthaburi 11120 Thailand
โทร. +662 9244161 อีเมล: sales@vatska.com/ Tel: +662 9244161 E-mail: sales@vatska.com </t>
    </r>
  </si>
  <si>
    <t>เอกสารตรวจสอบผลิตภัณฑ์ QC (Quality Control) สำหรับบรรจุ</t>
  </si>
  <si>
    <t>Lot no</t>
  </si>
  <si>
    <t>MPN</t>
  </si>
  <si>
    <t>Children no.</t>
  </si>
  <si>
    <t>จำนวนกล่อง</t>
  </si>
  <si>
    <t>BAR CODE</t>
  </si>
  <si>
    <t>รายการการตรวจสอบ</t>
  </si>
  <si>
    <t>จำนวนที่สุ่ม 
( เส้น/ถุง)</t>
  </si>
  <si>
    <t>ลายเซ็นต์ผู้ตรวจสอบ</t>
  </si>
  <si>
    <t>สติกเกอร์ (Label)</t>
  </si>
  <si>
    <t>ความถูกต้องของรหัสสินค้า (Part Number)</t>
  </si>
  <si>
    <t>ความถูกต้องของขนาดสายยาง (MPN)</t>
  </si>
  <si>
    <t>ความถูกต้องของวันเดือนปีที่ผลิต (DOM)</t>
  </si>
  <si>
    <t>ความถูกต้องของจำนวน / ถุง (QTY)</t>
  </si>
  <si>
    <t>ความสวยงานของการแพ็ค เช่น การซีลถุง</t>
  </si>
  <si>
    <t>ความสะอาดความสายยางภายในกล่อง</t>
  </si>
  <si>
    <t>เมื่อ scan QR code ข้อมูลถูกต้อง</t>
  </si>
  <si>
    <t xml:space="preserve">เอกสารตรวจสอบผลิตภัณฑ์ QC (Quality Control) </t>
  </si>
  <si>
    <t>จำนวนถุงที่ผลิต</t>
  </si>
  <si>
    <t>ความถูกต้องของความยาวของสายยางว่าอยู่ภายในระยะที่กำหนด (ตามรายละเอียดแนบ)</t>
  </si>
  <si>
    <t>ความสะอาดความสายยางภายในถุง</t>
  </si>
  <si>
    <t>ความสะอาดของถุงโดยรวม</t>
  </si>
  <si>
    <t>เมื่อ scan barcode ข้อมูลถูกต้อง</t>
  </si>
  <si>
    <t>จำนวนกลุ่มตัวอย่างที่สุ่ม QC</t>
  </si>
  <si>
    <t>สุ่มตรวจ 10 % ของจำนวนสายยาง</t>
  </si>
  <si>
    <t>จำนวนสุ่มสายยาง QC</t>
  </si>
  <si>
    <t>จำนวนสุ่มถุงบรรจุ QC</t>
  </si>
  <si>
    <t>จำนวนตัวอย่างสุ่ม 1-100</t>
  </si>
  <si>
    <t>จำนวนตัวอย่างสุ่ม 100-200</t>
  </si>
  <si>
    <t>จำนวนตัวอย่างสุ่ม 200-300</t>
  </si>
  <si>
    <t>จำนวนตัวอย่างสุ่ม 300-400</t>
  </si>
  <si>
    <t>จำนวนตัวอย่างสุ่ม 400-500</t>
  </si>
  <si>
    <t>จำนวนตัวอย่างสุ่ม 500-1000</t>
  </si>
  <si>
    <t>จำนวนตัวอย่างสุ่ม 1000-2000</t>
  </si>
  <si>
    <t>จำนวนตัวอย่างสุ่มมากว่า 1000</t>
  </si>
  <si>
    <t>คิดเป็น 10% ของจำนวนทั้งหมด</t>
  </si>
  <si>
    <t>รายการ</t>
  </si>
  <si>
    <t>JOB NUMBER</t>
  </si>
  <si>
    <t>เกณฑ์ระยะความยาวของสายยางที่ยอมรับได้</t>
  </si>
  <si>
    <t>Model</t>
  </si>
  <si>
    <t>Part number</t>
  </si>
  <si>
    <t>QTY/ bag</t>
  </si>
  <si>
    <t>1
K9801-60098</t>
  </si>
  <si>
    <t>job 1.1</t>
  </si>
  <si>
    <t>152.4 -157.4</t>
  </si>
  <si>
    <t>ABW00007</t>
  </si>
  <si>
    <t>K9801-60079</t>
  </si>
  <si>
    <t>job 1.2</t>
  </si>
  <si>
    <t>558.8 -563.8</t>
  </si>
  <si>
    <t>K9801-60080</t>
  </si>
  <si>
    <t>job 1.3</t>
  </si>
  <si>
    <t>57.15 -58.15</t>
  </si>
  <si>
    <t>ABW00017</t>
  </si>
  <si>
    <t>K9801-60081</t>
  </si>
  <si>
    <t>job 1.4</t>
  </si>
  <si>
    <t>107 -108</t>
  </si>
  <si>
    <t>ABW00002</t>
  </si>
  <si>
    <t>K9801-60084</t>
  </si>
  <si>
    <t>job 1.5</t>
  </si>
  <si>
    <t>762 -767</t>
  </si>
  <si>
    <t>K9801-60085</t>
  </si>
  <si>
    <t>2 
K9801-60099</t>
  </si>
  <si>
    <t>job 2.1</t>
  </si>
  <si>
    <t>55.34 -55.84</t>
  </si>
  <si>
    <t>ABW00019</t>
  </si>
  <si>
    <t>K9801-60082</t>
  </si>
  <si>
    <t>job 2.2</t>
  </si>
  <si>
    <t>119.82 -120.82</t>
  </si>
  <si>
    <t>STHT-C-125-4F</t>
  </si>
  <si>
    <t>K9801-60083</t>
  </si>
  <si>
    <t>3
K9801-60100</t>
  </si>
  <si>
    <t>job 3.1</t>
  </si>
  <si>
    <t>254 -259</t>
  </si>
  <si>
    <t>job 3.2</t>
  </si>
  <si>
    <t>44.45 -45.45</t>
  </si>
  <si>
    <t>K9801-60093</t>
  </si>
  <si>
    <t>job 3.3</t>
  </si>
  <si>
    <t>349.25 -354.25</t>
  </si>
  <si>
    <t>K9801-60095</t>
  </si>
  <si>
    <t>job 3.4</t>
  </si>
  <si>
    <t>50.8 -55.8</t>
  </si>
  <si>
    <t>K9801-60096</t>
  </si>
  <si>
    <t>4
K9801-60102</t>
  </si>
  <si>
    <t>job 4.1</t>
  </si>
  <si>
    <t>584.2 -589.2</t>
  </si>
  <si>
    <t>ABW00012</t>
  </si>
  <si>
    <t>K9801-60086</t>
  </si>
  <si>
    <t>job 4.2</t>
  </si>
  <si>
    <t>381 -386</t>
  </si>
  <si>
    <t>K9801-60087</t>
  </si>
  <si>
    <t>job 4.3</t>
  </si>
  <si>
    <t>330.2 -335.2</t>
  </si>
  <si>
    <t>K9801-60088</t>
  </si>
  <si>
    <t>job 4.4</t>
  </si>
  <si>
    <t>228.6 -233.6</t>
  </si>
  <si>
    <t>K9801-60089</t>
  </si>
  <si>
    <t>job 4.5</t>
  </si>
  <si>
    <t>203.2 -208.2</t>
  </si>
  <si>
    <t>K9801-60090</t>
  </si>
  <si>
    <t>5 (K9801-60091)</t>
  </si>
  <si>
    <t>job 5</t>
  </si>
  <si>
    <t>609.6 -614.6</t>
  </si>
  <si>
    <t>6(K9801-60097)</t>
  </si>
  <si>
    <t>job 6</t>
  </si>
  <si>
    <t>K9801-60097</t>
  </si>
  <si>
    <t>7(K9801-60114)</t>
  </si>
  <si>
    <t>job 7.1</t>
  </si>
  <si>
    <t>job 7.2</t>
  </si>
  <si>
    <t>330.2 -335.5</t>
  </si>
  <si>
    <t>K9801-60116</t>
  </si>
  <si>
    <t>8(K9801-60085)</t>
  </si>
  <si>
    <t>job 8</t>
  </si>
  <si>
    <t>9(K9801-60086)</t>
  </si>
  <si>
    <t>job 9</t>
  </si>
  <si>
    <t>10(K9801-60094)</t>
  </si>
  <si>
    <t>job 10</t>
  </si>
  <si>
    <t>K9801-60094</t>
  </si>
  <si>
    <t>11(K9801-60095)</t>
  </si>
  <si>
    <t>job 11</t>
  </si>
  <si>
    <t>12(K9801-60084)</t>
  </si>
  <si>
    <t>job 12</t>
  </si>
  <si>
    <t>304.8 -309.8</t>
  </si>
  <si>
    <t>job 13.1</t>
  </si>
  <si>
    <t>152.4-157.4</t>
  </si>
  <si>
    <t>job 13.2</t>
  </si>
  <si>
    <t>558.8-563.8</t>
  </si>
  <si>
    <t>job 13.3</t>
  </si>
  <si>
    <t>57.17-58.15</t>
  </si>
  <si>
    <t>job 13.4</t>
  </si>
  <si>
    <t>304.8-309.8</t>
  </si>
  <si>
    <t>job 13.5</t>
  </si>
  <si>
    <t>762-767</t>
  </si>
  <si>
    <t>job 14.1</t>
  </si>
  <si>
    <t>254-259</t>
  </si>
  <si>
    <t>job 14.2</t>
  </si>
  <si>
    <t>44.45-45.45</t>
  </si>
  <si>
    <t>job 14.3</t>
  </si>
  <si>
    <t>349.25-354.25</t>
  </si>
  <si>
    <t>job 14.4</t>
  </si>
  <si>
    <t>50.9-55.8</t>
  </si>
  <si>
    <t>job 15.1</t>
  </si>
  <si>
    <t>584.2-589.2</t>
  </si>
  <si>
    <t>job 15.2</t>
  </si>
  <si>
    <t>381-386</t>
  </si>
  <si>
    <t>job 15.3</t>
  </si>
  <si>
    <t>330.2-335.2</t>
  </si>
  <si>
    <t>job 15.4</t>
  </si>
  <si>
    <t>228.6-233.6</t>
  </si>
  <si>
    <t>job 15.5</t>
  </si>
  <si>
    <t>203.2-208.2</t>
  </si>
  <si>
    <t>-</t>
  </si>
  <si>
    <t>PO12345</t>
  </si>
  <si>
    <t>CUSTOMER PO</t>
  </si>
  <si>
    <t>xxx</t>
  </si>
  <si>
    <t>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</si>
</sst>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6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16"/>
      <color theme="1"/>
      <name val="Arial"/>
      <family val="2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sz val="10"/>
      <color rgb="FF000000"/>
      <name val="Arial"/>
      <family val="2"/>
    </font>
    <font>
      <sz val="9"/>
      <color theme="1"/>
      <name val="Angsana New"/>
      <family val="1"/>
    </font>
    <font>
      <b/>
      <sz val="18"/>
      <color theme="1"/>
      <name val="Angsana New"/>
      <family val="1"/>
    </font>
    <font>
      <sz val="18"/>
      <color theme="1"/>
      <name val="Angsana New"/>
      <family val="1"/>
    </font>
    <font>
      <sz val="24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rgb="FF0000FF"/>
      <name val="Arial"/>
      <family val="2"/>
    </font>
    <font>
      <sz val="11"/>
      <color theme="1"/>
      <name val="Angsana New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198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10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/>
    </xf>
    <xf numFmtId="164" fontId="7" fillId="2" borderId="1" xfId="3" applyFont="1" applyFill="1" applyBorder="1" applyAlignment="1">
      <alignment horizontal="right" vertical="center"/>
    </xf>
    <xf numFmtId="0" fontId="7" fillId="0" borderId="1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3" fillId="0" borderId="4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7" fillId="3" borderId="1" xfId="0" applyFont="1" applyFill="1" applyBorder="1" applyAlignment="1">
      <alignment vertical="center"/>
    </xf>
    <xf numFmtId="0" fontId="7" fillId="2" borderId="1" xfId="0" quotePrefix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164" fontId="7" fillId="4" borderId="1" xfId="0" applyNumberFormat="1" applyFont="1" applyFill="1" applyBorder="1" applyAlignment="1">
      <alignment vertical="center"/>
    </xf>
    <xf numFmtId="0" fontId="7" fillId="0" borderId="7" xfId="0" applyFont="1" applyBorder="1"/>
    <xf numFmtId="0" fontId="7" fillId="5" borderId="1" xfId="0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7" fillId="5" borderId="0" xfId="0" applyFont="1" applyFill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vertic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13" fillId="7" borderId="7" xfId="0" applyFont="1" applyFill="1" applyBorder="1"/>
    <xf numFmtId="0" fontId="13" fillId="7" borderId="7" xfId="0" applyFont="1" applyFill="1" applyBorder="1" applyAlignment="1">
      <alignment horizontal="center"/>
    </xf>
    <xf numFmtId="0" fontId="7" fillId="7" borderId="7" xfId="0" applyFont="1" applyFill="1" applyBorder="1"/>
    <xf numFmtId="0" fontId="7" fillId="7" borderId="0" xfId="0" applyFont="1" applyFill="1" applyAlignment="1">
      <alignment horizontal="center"/>
    </xf>
    <xf numFmtId="0" fontId="15" fillId="0" borderId="0" xfId="0" applyFont="1"/>
    <xf numFmtId="0" fontId="19" fillId="0" borderId="0" xfId="0" applyFont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19" fillId="0" borderId="13" xfId="0" applyFont="1" applyBorder="1" applyAlignment="1">
      <alignment horizontal="left" vertical="center" wrapText="1"/>
    </xf>
    <xf numFmtId="0" fontId="19" fillId="0" borderId="0" xfId="0" applyFont="1"/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 wrapText="1"/>
    </xf>
    <xf numFmtId="0" fontId="20" fillId="0" borderId="0" xfId="0" applyFont="1" applyAlignment="1">
      <alignment horizontal="center"/>
    </xf>
    <xf numFmtId="0" fontId="20" fillId="0" borderId="0" xfId="0" applyFont="1"/>
    <xf numFmtId="0" fontId="7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4" fillId="2" borderId="1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23" fillId="0" borderId="0" xfId="0" applyFont="1"/>
    <xf numFmtId="0" fontId="0" fillId="0" borderId="0" xfId="0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/>
    <xf numFmtId="0" fontId="14" fillId="2" borderId="0" xfId="0" applyFont="1" applyFill="1" applyAlignment="1">
      <alignment horizontal="left" vertical="center"/>
    </xf>
    <xf numFmtId="165" fontId="7" fillId="7" borderId="0" xfId="3" applyNumberFormat="1" applyFont="1" applyFill="1"/>
    <xf numFmtId="165" fontId="7" fillId="7" borderId="0" xfId="3" applyNumberFormat="1" applyFont="1" applyFill="1" applyAlignment="1">
      <alignment horizontal="center" vertical="center"/>
    </xf>
    <xf numFmtId="165" fontId="7" fillId="2" borderId="0" xfId="3" applyNumberFormat="1" applyFont="1" applyFill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5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4" fillId="0" borderId="12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right" vertical="center" wrapText="1"/>
    </xf>
    <xf numFmtId="0" fontId="24" fillId="0" borderId="2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top" wrapText="1"/>
    </xf>
    <xf numFmtId="0" fontId="12" fillId="6" borderId="0" xfId="0" applyFont="1" applyFill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24" fillId="0" borderId="12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right" vertical="center" wrapText="1"/>
    </xf>
    <xf numFmtId="0" fontId="24" fillId="0" borderId="3" xfId="0" applyFont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9" fillId="2" borderId="2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21" fillId="0" borderId="1" xfId="0" applyFont="1" applyBorder="1" applyAlignment="1">
      <alignment horizontal="center"/>
    </xf>
    <xf numFmtId="0" fontId="20" fillId="0" borderId="12" xfId="0" applyFont="1" applyBorder="1" applyAlignment="1">
      <alignment horizontal="left"/>
    </xf>
    <xf numFmtId="0" fontId="20" fillId="0" borderId="13" xfId="0" applyFont="1" applyBorder="1" applyAlignment="1">
      <alignment horizontal="left"/>
    </xf>
    <xf numFmtId="0" fontId="20" fillId="0" borderId="1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" xfId="0" applyFont="1" applyBorder="1" applyAlignment="1">
      <alignment horizontal="center" wrapText="1"/>
    </xf>
    <xf numFmtId="0" fontId="20" fillId="0" borderId="12" xfId="0" applyFont="1" applyBorder="1" applyAlignment="1">
      <alignment horizontal="center" wrapText="1"/>
    </xf>
    <xf numFmtId="0" fontId="20" fillId="0" borderId="14" xfId="0" applyFont="1" applyBorder="1" applyAlignment="1">
      <alignment horizontal="center" wrapText="1"/>
    </xf>
    <xf numFmtId="0" fontId="20" fillId="0" borderId="13" xfId="0" applyFont="1" applyBorder="1" applyAlignment="1">
      <alignment horizontal="center" wrapText="1"/>
    </xf>
    <xf numFmtId="0" fontId="20" fillId="0" borderId="12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7" fillId="0" borderId="12" xfId="0" applyFont="1" applyBorder="1" applyAlignment="1">
      <alignment horizontal="center" wrapText="1"/>
    </xf>
    <xf numFmtId="0" fontId="7" fillId="0" borderId="14" xfId="0" applyFont="1" applyBorder="1" applyAlignment="1">
      <alignment horizontal="center" wrapText="1"/>
    </xf>
    <xf numFmtId="0" fontId="7" fillId="0" borderId="13" xfId="0" applyFont="1" applyBorder="1" applyAlignment="1">
      <alignment horizontal="center" wrapText="1"/>
    </xf>
    <xf numFmtId="0" fontId="7" fillId="0" borderId="12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top" wrapText="1"/>
    </xf>
    <xf numFmtId="0" fontId="8" fillId="2" borderId="15" xfId="0" applyFont="1" applyFill="1" applyBorder="1" applyAlignment="1">
      <alignment horizontal="center" vertical="top"/>
    </xf>
    <xf numFmtId="0" fontId="8" fillId="2" borderId="8" xfId="0" applyFont="1" applyFill="1" applyBorder="1" applyAlignment="1">
      <alignment horizontal="center" vertical="top"/>
    </xf>
    <xf numFmtId="0" fontId="14" fillId="2" borderId="2" xfId="0" applyFont="1" applyFill="1" applyBorder="1" applyAlignment="1">
      <alignment horizontal="center" vertical="top" wrapText="1"/>
    </xf>
    <xf numFmtId="0" fontId="14" fillId="2" borderId="6" xfId="0" applyFont="1" applyFill="1" applyBorder="1" applyAlignment="1">
      <alignment horizontal="center" vertical="top" wrapText="1"/>
    </xf>
    <xf numFmtId="0" fontId="7" fillId="2" borderId="12" xfId="0" quotePrefix="1" applyFont="1" applyFill="1" applyBorder="1" applyAlignment="1">
      <alignment horizontal="center"/>
    </xf>
    <xf numFmtId="0" fontId="7" fillId="2" borderId="14" xfId="0" quotePrefix="1" applyFont="1" applyFill="1" applyBorder="1" applyAlignment="1">
      <alignment horizontal="center"/>
    </xf>
    <xf numFmtId="0" fontId="7" fillId="2" borderId="13" xfId="0" quotePrefix="1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0" fontId="9" fillId="2" borderId="14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0" fontId="22" fillId="2" borderId="12" xfId="0" applyFont="1" applyFill="1" applyBorder="1" applyAlignment="1">
      <alignment horizontal="center" vertical="center" wrapText="1"/>
    </xf>
    <xf numFmtId="0" fontId="22" fillId="2" borderId="14" xfId="0" applyFont="1" applyFill="1" applyBorder="1" applyAlignment="1">
      <alignment horizontal="center" vertical="center" wrapText="1"/>
    </xf>
    <xf numFmtId="0" fontId="22" fillId="2" borderId="13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7" fillId="0" borderId="4" xfId="0" applyFont="1" applyBorder="1" applyAlignment="1">
      <alignment horizontal="center"/>
    </xf>
    <xf numFmtId="0" fontId="7" fillId="2" borderId="7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7" fillId="2" borderId="7" xfId="0" applyFont="1" applyFill="1" applyBorder="1"/>
    <xf numFmtId="0" fontId="7" fillId="2" borderId="7" xfId="0" applyFont="1" applyFill="1" applyBorder="1" applyAlignment="1">
      <alignment horizontal="center"/>
    </xf>
  </cellXfs>
  <cellStyles count="4">
    <cellStyle name="Comma" xfId="3" builtinId="3"/>
    <cellStyle name="Comma 2" xfId="2" xr:uid="{B96F9A27-C494-40C5-BEFB-F01D0E97589E}"/>
    <cellStyle name="Normal" xfId="0" builtinId="0"/>
    <cellStyle name="Normal 2" xfId="1" xr:uid="{03F2BEC5-C99A-4489-AA3B-3890FFBA21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19050</xdr:colOff>
      <xdr:row>0</xdr:row>
      <xdr:rowOff>19050</xdr:rowOff>
    </xdr:from>
    <xdr:to>
      <xdr:col>14</xdr:col>
      <xdr:colOff>609600</xdr:colOff>
      <xdr:row>1</xdr:row>
      <xdr:rowOff>149225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639E8F8-3241-4D00-B999-D23AF2430DF0}"/>
            </a:ext>
          </a:extLst>
        </xdr:cNvPr>
        <xdr:cNvSpPr txBox="1"/>
      </xdr:nvSpPr>
      <xdr:spPr>
        <a:xfrm>
          <a:off x="11744325" y="171450"/>
          <a:ext cx="590550" cy="425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A1</a:t>
          </a:r>
        </a:p>
      </xdr:txBody>
    </xdr:sp>
    <xdr:clientData/>
  </xdr:twoCellAnchor>
  <xdr:twoCellAnchor editAs="oneCell">
    <xdr:from>
      <xdr:col>1</xdr:col>
      <xdr:colOff>361950</xdr:colOff>
      <xdr:row>0</xdr:row>
      <xdr:rowOff>95250</xdr:rowOff>
    </xdr:from>
    <xdr:to>
      <xdr:col>1</xdr:col>
      <xdr:colOff>993775</xdr:colOff>
      <xdr:row>4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DBB36C1-630E-4F0E-B662-8047015AA99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" y="247650"/>
          <a:ext cx="631825" cy="65722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139700</xdr:colOff>
      <xdr:row>1</xdr:row>
      <xdr:rowOff>0</xdr:rowOff>
    </xdr:from>
    <xdr:to>
      <xdr:col>1</xdr:col>
      <xdr:colOff>845344</xdr:colOff>
      <xdr:row>5</xdr:row>
      <xdr:rowOff>23811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F464A4-B897-4616-A33C-6DDDB5651B2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8888" y="190500"/>
          <a:ext cx="705644" cy="747711"/>
        </a:xfrm>
        <a:prstGeom prst="rect">
          <a:avLst/>
        </a:prstGeom>
        <a:noFill/>
      </xdr:spPr>
    </xdr:pic>
    <xdr:clientData/>
  </xdr:twoCellAnchor>
  <xdr:twoCellAnchor>
    <xdr:from>
      <xdr:col>22</xdr:col>
      <xdr:colOff>25400</xdr:colOff>
      <xdr:row>0</xdr:row>
      <xdr:rowOff>73025</xdr:rowOff>
    </xdr:from>
    <xdr:to>
      <xdr:col>25</xdr:col>
      <xdr:colOff>50800</xdr:colOff>
      <xdr:row>2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CC32B74-3B46-4081-B52E-227580E15691}"/>
            </a:ext>
          </a:extLst>
        </xdr:cNvPr>
        <xdr:cNvSpPr txBox="1"/>
      </xdr:nvSpPr>
      <xdr:spPr>
        <a:xfrm>
          <a:off x="9898063" y="73025"/>
          <a:ext cx="1196975" cy="441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 A 2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139700</xdr:colOff>
      <xdr:row>1</xdr:row>
      <xdr:rowOff>0</xdr:rowOff>
    </xdr:from>
    <xdr:to>
      <xdr:col>1</xdr:col>
      <xdr:colOff>845344</xdr:colOff>
      <xdr:row>5</xdr:row>
      <xdr:rowOff>23811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D672B8-D87C-4B26-9267-3E686E1C069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225" y="190500"/>
          <a:ext cx="705644" cy="747711"/>
        </a:xfrm>
        <a:prstGeom prst="rect">
          <a:avLst/>
        </a:prstGeom>
        <a:noFill/>
      </xdr:spPr>
    </xdr:pic>
    <xdr:clientData/>
  </xdr:twoCellAnchor>
  <xdr:twoCellAnchor>
    <xdr:from>
      <xdr:col>22</xdr:col>
      <xdr:colOff>25400</xdr:colOff>
      <xdr:row>0</xdr:row>
      <xdr:rowOff>73025</xdr:rowOff>
    </xdr:from>
    <xdr:to>
      <xdr:col>25</xdr:col>
      <xdr:colOff>50800</xdr:colOff>
      <xdr:row>2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3500792-965E-487C-87E7-48E2C7599A81}"/>
            </a:ext>
          </a:extLst>
        </xdr:cNvPr>
        <xdr:cNvSpPr txBox="1"/>
      </xdr:nvSpPr>
      <xdr:spPr>
        <a:xfrm>
          <a:off x="10650538" y="73025"/>
          <a:ext cx="1082675" cy="441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 P</a:t>
          </a:r>
          <a:r>
            <a:rPr lang="en-US" sz="1800" b="1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2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E3C47-8979-4546-AA6A-8B92B3E92E60}">
  <dimension ref="A1:O60"/>
  <sheetViews>
    <sheetView zoomScaleNormal="100" workbookViewId="0">
      <selection activeCell="F8" sqref="F8"/>
    </sheetView>
  </sheetViews>
  <sheetFormatPr defaultColWidth="8.6640625" defaultRowHeight="11.65"/>
  <cols>
    <col min="1" max="1" width="8.6640625" style="2"/>
    <col min="2" max="2" width="21.33203125" style="1" customWidth="1"/>
    <col min="3" max="3" width="26.6640625" style="1" customWidth="1"/>
    <col min="4" max="4" width="12.6640625" style="2" customWidth="1"/>
    <col min="5" max="5" width="14.86328125" style="2" hidden="1" customWidth="1"/>
    <col min="6" max="6" width="12.6640625" style="2" customWidth="1"/>
    <col min="7" max="7" width="14.6640625" style="1" customWidth="1"/>
    <col min="8" max="8" width="9.6640625" style="1" customWidth="1"/>
    <col min="9" max="9" width="12.6640625" style="1" customWidth="1"/>
    <col min="10" max="10" width="12.6640625" style="2" customWidth="1"/>
    <col min="11" max="11" width="14.6640625" style="1" customWidth="1"/>
    <col min="12" max="12" width="8.6640625" style="1" customWidth="1"/>
    <col min="13" max="13" width="8.6640625" style="2" customWidth="1"/>
    <col min="14" max="14" width="12.6640625" style="1" customWidth="1"/>
    <col min="15" max="15" width="13.6640625" style="1" customWidth="1"/>
    <col min="16" max="16384" width="8.6640625" style="1"/>
  </cols>
  <sheetData>
    <row r="1" spans="1:15" ht="23.25" customHeight="1">
      <c r="A1" s="96" t="s">
        <v>48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</row>
    <row r="2" spans="1:15" ht="12" customHeight="1">
      <c r="A2" s="96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</row>
    <row r="3" spans="1:15" ht="12" customHeight="1">
      <c r="A3" s="96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</row>
    <row r="4" spans="1:15" ht="12" customHeight="1">
      <c r="A4" s="96"/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</row>
    <row r="5" spans="1:15" ht="12" customHeight="1">
      <c r="A5" s="96"/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</row>
    <row r="6" spans="1:15" ht="22.5">
      <c r="A6" s="4" t="s">
        <v>34</v>
      </c>
      <c r="K6" s="5"/>
      <c r="M6" s="5"/>
      <c r="N6" s="5"/>
      <c r="O6" s="5" t="s">
        <v>40</v>
      </c>
    </row>
    <row r="7" spans="1:15" s="6" customFormat="1" ht="21" customHeight="1">
      <c r="A7" s="7" t="s">
        <v>4</v>
      </c>
      <c r="B7" s="43"/>
      <c r="C7" s="33"/>
      <c r="D7" s="7" t="s">
        <v>49</v>
      </c>
      <c r="E7" s="7"/>
      <c r="F7" s="44" t="s">
        <v>227</v>
      </c>
      <c r="G7" s="44"/>
      <c r="J7" s="7"/>
      <c r="K7" s="6" t="s">
        <v>50</v>
      </c>
      <c r="L7" s="33" t="s">
        <v>66</v>
      </c>
      <c r="M7" s="45" t="s">
        <v>226</v>
      </c>
      <c r="N7" s="43"/>
      <c r="O7" s="7"/>
    </row>
    <row r="8" spans="1:15" s="6" customFormat="1" ht="21" customHeight="1">
      <c r="A8" s="7" t="s">
        <v>6</v>
      </c>
      <c r="B8" s="6" t="s">
        <v>36</v>
      </c>
      <c r="D8" s="7" t="s">
        <v>67</v>
      </c>
      <c r="E8" s="7"/>
      <c r="F8" s="66" t="s">
        <v>41</v>
      </c>
      <c r="J8" s="7"/>
      <c r="K8" s="6" t="s">
        <v>11</v>
      </c>
      <c r="M8" s="67">
        <v>2000</v>
      </c>
      <c r="N8" s="68" t="s">
        <v>3</v>
      </c>
      <c r="O8" s="7"/>
    </row>
    <row r="9" spans="1:15" s="6" customFormat="1" ht="21" customHeight="1">
      <c r="A9" s="7" t="s">
        <v>5</v>
      </c>
      <c r="B9" s="6" t="s">
        <v>35</v>
      </c>
      <c r="D9" s="6" t="s">
        <v>68</v>
      </c>
      <c r="E9" s="7"/>
      <c r="F9" s="66" t="s">
        <v>223</v>
      </c>
      <c r="J9" s="7"/>
      <c r="K9" s="7" t="s">
        <v>70</v>
      </c>
      <c r="M9" s="46" t="s">
        <v>224</v>
      </c>
      <c r="N9" s="46" t="s">
        <v>3</v>
      </c>
      <c r="O9" s="7"/>
    </row>
    <row r="10" spans="1:15" s="15" customFormat="1" ht="21" customHeight="1">
      <c r="A10" s="14"/>
      <c r="D10" s="14"/>
      <c r="E10" s="14"/>
      <c r="F10" s="14"/>
      <c r="J10" s="14"/>
      <c r="M10" s="14"/>
    </row>
    <row r="11" spans="1:15" s="15" customFormat="1" ht="21" customHeight="1">
      <c r="A11" s="14"/>
      <c r="B11" s="35" t="s">
        <v>0</v>
      </c>
      <c r="C11" s="35" t="s">
        <v>45</v>
      </c>
      <c r="D11" s="36"/>
      <c r="E11" s="14"/>
      <c r="F11" s="14"/>
      <c r="J11" s="14"/>
    </row>
    <row r="12" spans="1:15" s="6" customFormat="1" ht="21" customHeight="1">
      <c r="A12" s="7"/>
      <c r="B12" s="6" t="s">
        <v>71</v>
      </c>
      <c r="C12" t="s">
        <v>3</v>
      </c>
      <c r="D12" s="7"/>
      <c r="E12" s="7"/>
      <c r="F12" s="7"/>
      <c r="J12" s="7"/>
      <c r="K12" s="7"/>
      <c r="L12" s="14"/>
      <c r="M12" s="14"/>
      <c r="N12" s="14"/>
      <c r="O12" s="14"/>
    </row>
    <row r="13" spans="1:15" s="15" customFormat="1" ht="21" customHeight="1">
      <c r="A13" s="16" t="s">
        <v>29</v>
      </c>
      <c r="D13" s="14"/>
      <c r="E13" s="14"/>
      <c r="F13" s="14"/>
      <c r="J13" s="14"/>
      <c r="K13" s="6"/>
      <c r="M13" s="14"/>
    </row>
    <row r="14" spans="1:15" s="15" customFormat="1" ht="21" customHeight="1">
      <c r="A14" s="14"/>
      <c r="D14" s="14"/>
      <c r="E14" s="14"/>
      <c r="F14" s="14"/>
      <c r="J14" s="14"/>
      <c r="K14" s="6"/>
      <c r="M14" s="14"/>
    </row>
    <row r="15" spans="1:15" s="72" customFormat="1" ht="21" customHeight="1">
      <c r="A15" s="88" t="s">
        <v>15</v>
      </c>
      <c r="B15" s="90" t="s">
        <v>14</v>
      </c>
      <c r="C15" s="88" t="s">
        <v>13</v>
      </c>
      <c r="D15" s="88" t="s">
        <v>12</v>
      </c>
      <c r="E15" s="92" t="s">
        <v>32</v>
      </c>
      <c r="F15" s="94" t="s">
        <v>33</v>
      </c>
      <c r="G15" s="98" t="s">
        <v>32</v>
      </c>
      <c r="H15" s="119" t="s">
        <v>31</v>
      </c>
      <c r="J15" s="73"/>
    </row>
    <row r="16" spans="1:15" s="72" customFormat="1" ht="33" customHeight="1">
      <c r="A16" s="88"/>
      <c r="B16" s="91"/>
      <c r="C16" s="88"/>
      <c r="D16" s="88"/>
      <c r="E16" s="93"/>
      <c r="F16" s="95"/>
      <c r="G16" s="118"/>
      <c r="H16" s="120"/>
      <c r="J16" s="73"/>
    </row>
    <row r="17" spans="1:15" s="15" customFormat="1" ht="21" customHeight="1">
      <c r="A17" s="13">
        <v>1</v>
      </c>
      <c r="B17" s="37" t="s">
        <v>7</v>
      </c>
      <c r="C17" s="38" t="s">
        <v>0</v>
      </c>
      <c r="D17" s="34">
        <v>8</v>
      </c>
      <c r="E17" s="20">
        <f>D17*M8*(J44+I44)</f>
        <v>9833600</v>
      </c>
      <c r="F17" s="9">
        <v>50</v>
      </c>
      <c r="G17" s="32">
        <f>E17</f>
        <v>9833600</v>
      </c>
      <c r="H17" s="32">
        <f>G17*0.00328/F17</f>
        <v>645.08416</v>
      </c>
      <c r="K17" s="97" t="s">
        <v>65</v>
      </c>
    </row>
    <row r="18" spans="1:15" s="15" customFormat="1" ht="21" customHeight="1">
      <c r="A18" s="10">
        <v>2</v>
      </c>
      <c r="B18" s="21" t="s">
        <v>30</v>
      </c>
      <c r="C18" s="21"/>
      <c r="D18" s="10"/>
      <c r="E18" s="10"/>
      <c r="F18" s="10"/>
      <c r="G18" s="21"/>
      <c r="H18" s="21"/>
      <c r="J18" s="14"/>
      <c r="K18" s="97"/>
      <c r="M18" s="14"/>
    </row>
    <row r="19" spans="1:15" s="15" customFormat="1" ht="21" customHeight="1">
      <c r="A19" s="10">
        <v>3</v>
      </c>
      <c r="B19" s="21" t="s">
        <v>37</v>
      </c>
      <c r="C19" s="21"/>
      <c r="D19" s="10" t="s">
        <v>44</v>
      </c>
      <c r="E19" s="10"/>
      <c r="F19" s="10"/>
      <c r="G19" s="21"/>
      <c r="H19" s="21"/>
      <c r="J19" s="14"/>
      <c r="K19" s="6"/>
      <c r="M19" s="14"/>
    </row>
    <row r="20" spans="1:15" s="15" customFormat="1" ht="21" customHeight="1">
      <c r="A20" s="10">
        <v>4</v>
      </c>
      <c r="B20" s="111" t="s">
        <v>46</v>
      </c>
      <c r="C20" s="112"/>
      <c r="D20" s="10" t="s">
        <v>47</v>
      </c>
      <c r="E20" s="10"/>
      <c r="F20" s="10"/>
      <c r="G20" s="21"/>
      <c r="H20" s="21"/>
      <c r="J20" s="14"/>
      <c r="K20" s="6"/>
      <c r="M20" s="14"/>
    </row>
    <row r="21" spans="1:15" s="15" customFormat="1" ht="21" customHeight="1">
      <c r="A21" s="10">
        <v>5</v>
      </c>
      <c r="B21" s="38" t="s">
        <v>63</v>
      </c>
      <c r="C21" s="34" t="s">
        <v>64</v>
      </c>
      <c r="D21" s="10">
        <f>M8</f>
        <v>2000</v>
      </c>
      <c r="E21" s="10"/>
      <c r="F21" s="10"/>
      <c r="G21" s="21"/>
      <c r="H21" s="21"/>
      <c r="J21" s="14"/>
      <c r="K21" s="6"/>
      <c r="M21" s="14"/>
    </row>
    <row r="22" spans="1:15" s="15" customFormat="1" ht="21" customHeight="1">
      <c r="A22" s="10">
        <v>6</v>
      </c>
      <c r="B22" s="21" t="s">
        <v>9</v>
      </c>
      <c r="C22" s="10" t="s">
        <v>10</v>
      </c>
      <c r="D22" s="10">
        <f>M8</f>
        <v>2000</v>
      </c>
      <c r="E22" s="10"/>
      <c r="F22" s="10"/>
      <c r="G22" s="21"/>
      <c r="H22" s="21"/>
      <c r="J22" s="14"/>
      <c r="K22" s="6"/>
      <c r="M22" s="14"/>
    </row>
    <row r="23" spans="1:15" s="15" customFormat="1" ht="21" customHeight="1">
      <c r="A23" s="10">
        <v>7</v>
      </c>
      <c r="B23" s="21" t="s">
        <v>25</v>
      </c>
      <c r="C23" s="10" t="s">
        <v>26</v>
      </c>
      <c r="D23" s="10" t="s">
        <v>52</v>
      </c>
      <c r="E23" s="10"/>
      <c r="F23" s="10"/>
      <c r="G23" s="21"/>
      <c r="H23" s="21"/>
      <c r="J23" s="14"/>
      <c r="K23" s="6"/>
      <c r="M23" s="14"/>
    </row>
    <row r="24" spans="1:15" s="15" customFormat="1" ht="21" customHeight="1">
      <c r="A24" s="10">
        <v>8</v>
      </c>
      <c r="B24" s="21" t="s">
        <v>53</v>
      </c>
      <c r="C24" s="21"/>
      <c r="D24" s="10"/>
      <c r="E24" s="10"/>
      <c r="F24" s="10"/>
      <c r="G24" s="21"/>
      <c r="H24" s="21"/>
      <c r="J24" s="14"/>
      <c r="K24" s="39"/>
      <c r="L24" s="40"/>
    </row>
    <row r="25" spans="1:15" s="15" customFormat="1" ht="21" customHeight="1">
      <c r="A25" s="14"/>
      <c r="D25" s="14"/>
      <c r="E25" s="14"/>
      <c r="F25" s="14"/>
      <c r="J25" s="14"/>
      <c r="M25" s="14"/>
    </row>
    <row r="26" spans="1:15" s="15" customFormat="1" ht="21" customHeight="1">
      <c r="A26" s="3" t="s">
        <v>61</v>
      </c>
      <c r="D26" s="14"/>
      <c r="E26" s="14"/>
      <c r="F26" s="14"/>
      <c r="I26" s="35" t="s">
        <v>59</v>
      </c>
      <c r="J26" s="36"/>
      <c r="K26" s="35"/>
      <c r="L26" s="35"/>
      <c r="M26" s="36"/>
      <c r="N26" s="35"/>
    </row>
    <row r="27" spans="1:15" s="15" customFormat="1" ht="21" customHeight="1">
      <c r="A27" s="14"/>
      <c r="D27" s="14"/>
      <c r="E27" s="14"/>
      <c r="F27" s="14"/>
      <c r="J27" s="14"/>
      <c r="M27" s="14"/>
    </row>
    <row r="28" spans="1:15" s="72" customFormat="1" ht="28.9" customHeight="1">
      <c r="A28" s="88" t="s">
        <v>15</v>
      </c>
      <c r="B28" s="88" t="s">
        <v>14</v>
      </c>
      <c r="C28" s="88" t="s">
        <v>13</v>
      </c>
      <c r="D28" s="88" t="s">
        <v>12</v>
      </c>
      <c r="E28" s="70"/>
      <c r="F28" s="89" t="s">
        <v>62</v>
      </c>
      <c r="G28" s="98" t="s">
        <v>54</v>
      </c>
      <c r="H28" s="98"/>
      <c r="I28" s="98"/>
      <c r="J28" s="113"/>
      <c r="K28" s="98" t="s">
        <v>58</v>
      </c>
      <c r="L28" s="98"/>
      <c r="M28" s="98"/>
      <c r="N28" s="98" t="s">
        <v>51</v>
      </c>
      <c r="O28" s="75"/>
    </row>
    <row r="29" spans="1:15" s="72" customFormat="1" ht="28.9" customHeight="1">
      <c r="A29" s="88"/>
      <c r="B29" s="88"/>
      <c r="C29" s="88"/>
      <c r="D29" s="88"/>
      <c r="E29" s="70"/>
      <c r="F29" s="89"/>
      <c r="G29" s="71" t="s">
        <v>55</v>
      </c>
      <c r="H29" s="71" t="s">
        <v>56</v>
      </c>
      <c r="I29" s="71" t="s">
        <v>57</v>
      </c>
      <c r="J29" s="74" t="s">
        <v>51</v>
      </c>
      <c r="K29" s="70" t="s">
        <v>24</v>
      </c>
      <c r="L29" s="71" t="s">
        <v>21</v>
      </c>
      <c r="M29" s="71" t="s">
        <v>22</v>
      </c>
      <c r="N29" s="98"/>
    </row>
    <row r="30" spans="1:15" s="15" customFormat="1" ht="21" customHeight="1">
      <c r="A30" s="115">
        <v>5</v>
      </c>
      <c r="B30" s="99" t="s">
        <v>42</v>
      </c>
      <c r="C30" s="102" t="s">
        <v>43</v>
      </c>
      <c r="D30" s="108">
        <v>8</v>
      </c>
      <c r="E30" s="9"/>
      <c r="F30" s="105">
        <f>M8*D30</f>
        <v>16000</v>
      </c>
      <c r="G30" s="41"/>
      <c r="H30" s="41"/>
      <c r="I30" s="41"/>
      <c r="J30" s="42"/>
      <c r="K30" s="114" t="s">
        <v>60</v>
      </c>
      <c r="L30" s="9"/>
      <c r="M30" s="21"/>
      <c r="N30" s="21"/>
    </row>
    <row r="31" spans="1:15" s="15" customFormat="1" ht="21" customHeight="1">
      <c r="A31" s="116"/>
      <c r="B31" s="100"/>
      <c r="C31" s="103"/>
      <c r="D31" s="109"/>
      <c r="E31" s="21"/>
      <c r="F31" s="106"/>
      <c r="G31" s="41"/>
      <c r="H31" s="41"/>
      <c r="I31" s="41"/>
      <c r="J31" s="42"/>
      <c r="K31" s="114"/>
      <c r="L31" s="10"/>
      <c r="M31" s="21"/>
      <c r="N31" s="21"/>
    </row>
    <row r="32" spans="1:15" s="15" customFormat="1" ht="21" customHeight="1">
      <c r="A32" s="116"/>
      <c r="B32" s="100"/>
      <c r="C32" s="103"/>
      <c r="D32" s="109"/>
      <c r="E32" s="10"/>
      <c r="F32" s="106"/>
      <c r="G32" s="41"/>
      <c r="H32" s="41"/>
      <c r="I32" s="41"/>
      <c r="J32" s="42"/>
      <c r="K32" s="114"/>
      <c r="L32" s="21"/>
      <c r="M32" s="21"/>
      <c r="N32" s="21"/>
    </row>
    <row r="33" spans="1:14" s="15" customFormat="1" ht="21" customHeight="1">
      <c r="A33" s="116"/>
      <c r="B33" s="100"/>
      <c r="C33" s="103"/>
      <c r="D33" s="109"/>
      <c r="E33" s="10"/>
      <c r="F33" s="106"/>
      <c r="G33" s="41"/>
      <c r="H33" s="41"/>
      <c r="I33" s="41"/>
      <c r="J33" s="42"/>
      <c r="K33" s="114"/>
      <c r="L33" s="21"/>
      <c r="M33" s="21"/>
      <c r="N33" s="21"/>
    </row>
    <row r="34" spans="1:14" s="15" customFormat="1" ht="21" customHeight="1">
      <c r="A34" s="116"/>
      <c r="B34" s="100"/>
      <c r="C34" s="103"/>
      <c r="D34" s="109"/>
      <c r="E34" s="10"/>
      <c r="F34" s="106"/>
      <c r="G34" s="41"/>
      <c r="H34" s="41"/>
      <c r="I34" s="41"/>
      <c r="J34" s="42"/>
      <c r="K34" s="114"/>
      <c r="L34" s="21"/>
      <c r="M34" s="21"/>
      <c r="N34" s="21"/>
    </row>
    <row r="35" spans="1:14" s="15" customFormat="1" ht="21" customHeight="1">
      <c r="A35" s="116"/>
      <c r="B35" s="100"/>
      <c r="C35" s="103"/>
      <c r="D35" s="109"/>
      <c r="E35" s="10"/>
      <c r="F35" s="106"/>
      <c r="G35" s="41"/>
      <c r="H35" s="41"/>
      <c r="I35" s="41"/>
      <c r="J35" s="42"/>
      <c r="K35" s="114"/>
      <c r="L35" s="21"/>
      <c r="M35" s="21"/>
      <c r="N35" s="21"/>
    </row>
    <row r="36" spans="1:14" s="15" customFormat="1" ht="21" customHeight="1">
      <c r="A36" s="116"/>
      <c r="B36" s="100"/>
      <c r="C36" s="103"/>
      <c r="D36" s="109"/>
      <c r="E36" s="10"/>
      <c r="F36" s="106"/>
      <c r="G36" s="41"/>
      <c r="H36" s="41"/>
      <c r="I36" s="41"/>
      <c r="J36" s="42"/>
      <c r="K36" s="114"/>
      <c r="L36" s="21"/>
      <c r="M36" s="21"/>
      <c r="N36" s="21"/>
    </row>
    <row r="37" spans="1:14" s="15" customFormat="1" ht="21" customHeight="1">
      <c r="A37" s="117"/>
      <c r="B37" s="101"/>
      <c r="C37" s="104"/>
      <c r="D37" s="110"/>
      <c r="E37" s="10"/>
      <c r="F37" s="107"/>
      <c r="G37" s="41"/>
      <c r="H37" s="41"/>
      <c r="I37" s="41"/>
      <c r="J37" s="42"/>
      <c r="K37" s="114"/>
      <c r="L37" s="21"/>
      <c r="M37" s="21"/>
      <c r="N37" s="21"/>
    </row>
    <row r="38" spans="1:14" s="15" customFormat="1" ht="21" customHeight="1">
      <c r="A38" s="14"/>
      <c r="C38" s="14"/>
      <c r="D38" s="14"/>
      <c r="E38" s="14"/>
      <c r="F38" s="25"/>
      <c r="I38" s="14"/>
      <c r="J38" s="14"/>
      <c r="L38" s="14"/>
      <c r="M38" s="14"/>
    </row>
    <row r="39" spans="1:14" s="15" customFormat="1" ht="21" hidden="1" customHeight="1">
      <c r="A39" s="16" t="s">
        <v>27</v>
      </c>
      <c r="D39" s="14"/>
      <c r="E39" s="14"/>
      <c r="F39" s="14"/>
      <c r="J39" s="14"/>
      <c r="M39" s="14"/>
    </row>
    <row r="40" spans="1:14" s="15" customFormat="1" ht="21" hidden="1" customHeight="1">
      <c r="A40" s="14"/>
      <c r="D40" s="14"/>
      <c r="E40" s="14"/>
      <c r="F40" s="14"/>
      <c r="J40" s="14"/>
      <c r="M40" s="14"/>
    </row>
    <row r="41" spans="1:14" s="17" customFormat="1" ht="21" hidden="1" customHeight="1">
      <c r="A41" s="77" t="s">
        <v>15</v>
      </c>
      <c r="B41" s="77" t="s">
        <v>16</v>
      </c>
      <c r="C41" s="77" t="s">
        <v>17</v>
      </c>
      <c r="D41" s="83" t="s">
        <v>17</v>
      </c>
      <c r="E41" s="26"/>
      <c r="F41" s="77" t="s">
        <v>18</v>
      </c>
      <c r="G41" s="77" t="s">
        <v>13</v>
      </c>
      <c r="H41" s="80" t="s">
        <v>28</v>
      </c>
      <c r="I41" s="80" t="s">
        <v>23</v>
      </c>
      <c r="J41" s="80" t="s">
        <v>2</v>
      </c>
      <c r="K41" s="83" t="s">
        <v>19</v>
      </c>
      <c r="L41" s="84"/>
      <c r="M41" s="76" t="s">
        <v>20</v>
      </c>
    </row>
    <row r="42" spans="1:14" s="17" customFormat="1" ht="21" hidden="1" customHeight="1">
      <c r="A42" s="78"/>
      <c r="B42" s="78"/>
      <c r="C42" s="78"/>
      <c r="D42" s="87"/>
      <c r="F42" s="78"/>
      <c r="G42" s="78"/>
      <c r="H42" s="81"/>
      <c r="I42" s="81"/>
      <c r="J42" s="81"/>
      <c r="K42" s="85"/>
      <c r="L42" s="86"/>
      <c r="M42" s="76"/>
    </row>
    <row r="43" spans="1:14" s="17" customFormat="1" ht="21" hidden="1" customHeight="1">
      <c r="A43" s="79"/>
      <c r="B43" s="79"/>
      <c r="C43" s="79"/>
      <c r="D43" s="85"/>
      <c r="E43" s="27"/>
      <c r="F43" s="79"/>
      <c r="G43" s="79"/>
      <c r="H43" s="82"/>
      <c r="I43" s="82"/>
      <c r="J43" s="82"/>
      <c r="K43" s="28" t="s">
        <v>21</v>
      </c>
      <c r="L43" s="18" t="s">
        <v>22</v>
      </c>
      <c r="M43" s="12" t="s">
        <v>21</v>
      </c>
    </row>
    <row r="44" spans="1:14" s="31" customFormat="1" ht="21" hidden="1" customHeight="1">
      <c r="A44" s="8">
        <v>1</v>
      </c>
      <c r="B44" s="11" t="s">
        <v>41</v>
      </c>
      <c r="C44" s="11" t="s">
        <v>42</v>
      </c>
      <c r="D44" s="19" t="s">
        <v>41</v>
      </c>
      <c r="E44" s="29" t="s">
        <v>39</v>
      </c>
      <c r="F44" s="9" t="s">
        <v>8</v>
      </c>
      <c r="G44" s="23" t="s">
        <v>0</v>
      </c>
      <c r="H44" s="9" t="s">
        <v>38</v>
      </c>
      <c r="I44" s="19">
        <v>609.6</v>
      </c>
      <c r="J44" s="30" t="s">
        <v>1</v>
      </c>
      <c r="K44" s="19"/>
      <c r="L44" s="19"/>
      <c r="M44" s="19"/>
    </row>
    <row r="45" spans="1:14" s="15" customFormat="1" ht="21" hidden="1" customHeight="1">
      <c r="A45" s="14"/>
      <c r="D45" s="14"/>
      <c r="E45" s="14"/>
      <c r="F45" s="14"/>
      <c r="H45" s="14"/>
      <c r="J45" s="14"/>
      <c r="M45" s="14"/>
    </row>
    <row r="46" spans="1:14" s="15" customFormat="1" ht="21" hidden="1" customHeight="1">
      <c r="A46" s="14"/>
      <c r="D46" s="14"/>
      <c r="E46" s="14"/>
      <c r="F46" s="14"/>
      <c r="I46" s="15" t="s">
        <v>3</v>
      </c>
      <c r="J46" s="14"/>
      <c r="L46" s="22"/>
      <c r="M46" s="24"/>
    </row>
    <row r="47" spans="1:14" s="15" customFormat="1" ht="21" customHeight="1">
      <c r="A47" s="16"/>
      <c r="D47" s="14"/>
      <c r="E47" s="14"/>
      <c r="F47" s="14"/>
      <c r="J47" s="14"/>
      <c r="M47" s="14"/>
    </row>
    <row r="48" spans="1:14" s="15" customFormat="1" ht="21" customHeight="1">
      <c r="A48" s="14"/>
      <c r="D48" s="14"/>
      <c r="E48" s="14"/>
      <c r="F48" s="14"/>
      <c r="J48" s="14"/>
      <c r="M48" s="14"/>
    </row>
    <row r="49" spans="1:13" s="15" customFormat="1" ht="21" customHeight="1">
      <c r="A49" s="14"/>
      <c r="D49" s="14"/>
      <c r="E49" s="14"/>
      <c r="F49" s="14"/>
      <c r="J49" s="14"/>
      <c r="M49" s="14"/>
    </row>
    <row r="50" spans="1:13" s="15" customFormat="1" ht="21" customHeight="1">
      <c r="A50" s="14"/>
      <c r="D50" s="14"/>
      <c r="E50" s="14"/>
      <c r="F50" s="14"/>
      <c r="J50" s="14"/>
      <c r="M50" s="14"/>
    </row>
    <row r="51" spans="1:13" s="15" customFormat="1" ht="21" customHeight="1">
      <c r="A51" s="14"/>
      <c r="D51" s="14"/>
      <c r="E51" s="14"/>
      <c r="F51" s="14"/>
      <c r="J51" s="14"/>
      <c r="M51" s="14"/>
    </row>
    <row r="52" spans="1:13" s="15" customFormat="1" ht="21" customHeight="1">
      <c r="A52" s="14"/>
      <c r="D52" s="14"/>
      <c r="E52" s="14"/>
      <c r="F52" s="14"/>
      <c r="J52" s="14"/>
      <c r="M52" s="14"/>
    </row>
    <row r="53" spans="1:13" s="15" customFormat="1" ht="21" customHeight="1">
      <c r="A53" s="14"/>
      <c r="D53" s="14"/>
      <c r="E53" s="14"/>
      <c r="F53" s="14"/>
      <c r="J53" s="14"/>
      <c r="M53" s="14"/>
    </row>
    <row r="54" spans="1:13" s="15" customFormat="1" ht="21" customHeight="1">
      <c r="A54" s="14"/>
      <c r="D54" s="14"/>
      <c r="E54" s="14"/>
      <c r="F54" s="14"/>
      <c r="J54" s="14"/>
      <c r="M54" s="14"/>
    </row>
    <row r="55" spans="1:13" s="15" customFormat="1" ht="21" customHeight="1">
      <c r="A55" s="14"/>
      <c r="D55" s="14"/>
      <c r="E55" s="14"/>
      <c r="F55" s="14"/>
      <c r="J55" s="14"/>
      <c r="M55" s="14"/>
    </row>
    <row r="56" spans="1:13" s="15" customFormat="1" ht="21" customHeight="1">
      <c r="A56" s="14"/>
      <c r="D56" s="14"/>
      <c r="E56" s="14"/>
      <c r="F56" s="14"/>
      <c r="J56" s="14"/>
      <c r="M56" s="14"/>
    </row>
    <row r="57" spans="1:13" s="15" customFormat="1" ht="21" customHeight="1">
      <c r="A57" s="14"/>
      <c r="D57" s="14"/>
      <c r="E57" s="14"/>
      <c r="F57" s="14"/>
      <c r="J57" s="14"/>
      <c r="M57" s="14"/>
    </row>
    <row r="58" spans="1:13" s="15" customFormat="1" ht="21" customHeight="1">
      <c r="A58" s="14"/>
      <c r="D58" s="14"/>
      <c r="E58" s="14"/>
      <c r="F58" s="14"/>
      <c r="J58" s="14"/>
      <c r="M58" s="14"/>
    </row>
    <row r="59" spans="1:13" s="15" customFormat="1" ht="21" customHeight="1">
      <c r="A59" s="14"/>
      <c r="D59" s="14"/>
      <c r="E59" s="14"/>
      <c r="F59" s="14"/>
      <c r="J59" s="14"/>
      <c r="M59" s="14"/>
    </row>
    <row r="60" spans="1:13" s="15" customFormat="1" ht="21" customHeight="1">
      <c r="A60" s="14"/>
      <c r="D60" s="14"/>
      <c r="E60" s="14"/>
      <c r="F60" s="14"/>
      <c r="J60" s="14"/>
      <c r="M60" s="14"/>
    </row>
  </sheetData>
  <mergeCells count="36">
    <mergeCell ref="A1:N5"/>
    <mergeCell ref="K17:K18"/>
    <mergeCell ref="N28:N29"/>
    <mergeCell ref="K28:M28"/>
    <mergeCell ref="B30:B37"/>
    <mergeCell ref="C30:C37"/>
    <mergeCell ref="F30:F37"/>
    <mergeCell ref="D30:D37"/>
    <mergeCell ref="B20:C20"/>
    <mergeCell ref="G28:J28"/>
    <mergeCell ref="K30:K37"/>
    <mergeCell ref="A30:A37"/>
    <mergeCell ref="G15:G16"/>
    <mergeCell ref="H15:H16"/>
    <mergeCell ref="A28:A29"/>
    <mergeCell ref="B28:B29"/>
    <mergeCell ref="C28:C29"/>
    <mergeCell ref="D28:D29"/>
    <mergeCell ref="F28:F29"/>
    <mergeCell ref="A15:A16"/>
    <mergeCell ref="B15:B16"/>
    <mergeCell ref="C15:C16"/>
    <mergeCell ref="D15:D16"/>
    <mergeCell ref="E15:E16"/>
    <mergeCell ref="F15:F16"/>
    <mergeCell ref="A41:A43"/>
    <mergeCell ref="B41:B43"/>
    <mergeCell ref="C41:C43"/>
    <mergeCell ref="D41:D43"/>
    <mergeCell ref="F41:F43"/>
    <mergeCell ref="M41:M42"/>
    <mergeCell ref="G41:G43"/>
    <mergeCell ref="H41:H43"/>
    <mergeCell ref="I41:I43"/>
    <mergeCell ref="J41:J43"/>
    <mergeCell ref="K41:L42"/>
  </mergeCells>
  <pageMargins left="0.11811023622047245" right="0" top="0.19685039370078741" bottom="0.15748031496062992" header="0.31496062992125984" footer="0.31496062992125984"/>
  <pageSetup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36ED6-FB33-4289-99F1-84A75D73658E}">
  <dimension ref="A1:Z83"/>
  <sheetViews>
    <sheetView tabSelected="1" workbookViewId="0">
      <selection activeCell="W7" sqref="W7:Z7"/>
    </sheetView>
  </sheetViews>
  <sheetFormatPr defaultRowHeight="14.25"/>
  <cols>
    <col min="1" max="1" width="15.6640625" style="61" customWidth="1"/>
    <col min="2" max="2" width="54" customWidth="1"/>
    <col min="3" max="20" width="3.19921875" customWidth="1"/>
    <col min="21" max="26" width="5.46484375" customWidth="1"/>
    <col min="28" max="28" width="15.3984375" customWidth="1"/>
  </cols>
  <sheetData>
    <row r="1" spans="1:26" ht="15" customHeight="1">
      <c r="A1" s="189" t="s">
        <v>72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47"/>
      <c r="X1" s="47"/>
      <c r="Y1" s="47"/>
      <c r="Z1" s="47"/>
    </row>
    <row r="2" spans="1:26" ht="15" customHeight="1">
      <c r="A2" s="189"/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47"/>
      <c r="X2" s="47"/>
      <c r="Y2" s="47"/>
      <c r="Z2" s="47"/>
    </row>
    <row r="3" spans="1:26" ht="15" customHeight="1">
      <c r="A3" s="189"/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47"/>
      <c r="X3" s="47"/>
      <c r="Y3" s="47"/>
      <c r="Z3" s="47"/>
    </row>
    <row r="4" spans="1:26" ht="15" customHeight="1">
      <c r="A4" s="189"/>
      <c r="B4" s="189"/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89"/>
      <c r="R4" s="189"/>
      <c r="S4" s="189"/>
      <c r="T4" s="189"/>
      <c r="U4" s="189"/>
      <c r="V4" s="189"/>
      <c r="W4" s="47"/>
      <c r="X4" s="47"/>
      <c r="Y4" s="47"/>
      <c r="Z4" s="47"/>
    </row>
    <row r="5" spans="1:26" ht="15" customHeight="1">
      <c r="A5" s="189"/>
      <c r="B5" s="189"/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  <c r="Q5" s="189"/>
      <c r="R5" s="189"/>
      <c r="S5" s="189"/>
      <c r="T5" s="189"/>
      <c r="U5" s="189"/>
      <c r="V5" s="189"/>
      <c r="W5" s="47"/>
      <c r="X5" s="47"/>
      <c r="Y5" s="47"/>
      <c r="Z5" s="47"/>
    </row>
    <row r="6" spans="1:26" ht="29.65">
      <c r="A6" s="121" t="s">
        <v>90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</row>
    <row r="7" spans="1:26" s="6" customFormat="1" ht="26.25" customHeight="1">
      <c r="A7" s="122" t="s">
        <v>90</v>
      </c>
      <c r="B7" s="122"/>
      <c r="C7" s="40" t="s">
        <v>74</v>
      </c>
      <c r="E7" s="14"/>
      <c r="F7" s="14"/>
      <c r="G7" s="126" t="str">
        <f>'ใบงาน Agilent_JOB 5'!F7</f>
        <v>xxxx</v>
      </c>
      <c r="H7" s="126"/>
      <c r="I7" s="126"/>
      <c r="J7" s="126"/>
      <c r="K7" s="126"/>
      <c r="L7" s="126"/>
      <c r="M7" s="126"/>
      <c r="N7" s="14"/>
      <c r="O7" s="14"/>
      <c r="P7" s="14"/>
      <c r="Q7" s="14"/>
      <c r="R7" s="14"/>
      <c r="S7" s="48" t="s">
        <v>50</v>
      </c>
      <c r="W7" s="196" t="str">
        <f>'ใบงาน Agilent_JOB 5'!M7</f>
        <v>xxx</v>
      </c>
      <c r="X7" s="196"/>
      <c r="Y7" s="196"/>
      <c r="Z7" s="196"/>
    </row>
    <row r="8" spans="1:26" s="6" customFormat="1" ht="13.5">
      <c r="A8" s="62" t="s">
        <v>75</v>
      </c>
      <c r="B8" s="66" t="s">
        <v>41</v>
      </c>
      <c r="C8" s="63" t="s">
        <v>76</v>
      </c>
      <c r="D8" s="63"/>
      <c r="E8" s="63"/>
      <c r="F8" s="63"/>
      <c r="G8" s="123" t="str">
        <f>'ใบงาน Agilent_JOB 5'!F9</f>
        <v>-</v>
      </c>
      <c r="H8" s="123"/>
      <c r="I8" s="123"/>
      <c r="J8" s="123"/>
      <c r="K8" s="39"/>
      <c r="L8" s="39"/>
      <c r="M8" s="39"/>
      <c r="N8" s="39"/>
      <c r="O8" s="39"/>
      <c r="P8" s="39"/>
      <c r="Q8" s="39"/>
      <c r="R8" s="39"/>
      <c r="S8" s="39"/>
      <c r="T8" s="39"/>
    </row>
    <row r="9" spans="1:26" s="6" customFormat="1" ht="13.5" customHeight="1">
      <c r="A9" s="124" t="s">
        <v>3</v>
      </c>
      <c r="B9" s="124"/>
      <c r="C9" s="65"/>
      <c r="D9" s="65"/>
      <c r="E9" s="65"/>
      <c r="F9" s="65"/>
      <c r="G9" s="123"/>
      <c r="H9" s="123"/>
      <c r="I9" s="123"/>
      <c r="J9" s="123"/>
      <c r="L9" s="14"/>
      <c r="M9" s="14"/>
      <c r="N9" s="14"/>
      <c r="O9" s="14"/>
      <c r="P9" s="14"/>
      <c r="Q9" s="14"/>
      <c r="R9" s="14"/>
      <c r="S9" s="97" t="s">
        <v>65</v>
      </c>
      <c r="T9" s="97"/>
      <c r="U9" s="97"/>
      <c r="V9" s="97"/>
    </row>
    <row r="10" spans="1:26" s="6" customFormat="1" ht="13.5" customHeight="1">
      <c r="A10" s="62" t="s">
        <v>91</v>
      </c>
      <c r="B10" s="69">
        <f>'ใบงาน Agilent_JOB 5'!M8</f>
        <v>2000</v>
      </c>
      <c r="C10" s="49"/>
      <c r="D10" s="125" t="s">
        <v>3</v>
      </c>
      <c r="E10" s="125"/>
      <c r="F10" s="125"/>
      <c r="G10" s="125"/>
      <c r="H10" s="125"/>
      <c r="I10" s="125"/>
      <c r="J10" s="125"/>
      <c r="K10" s="40"/>
      <c r="L10" s="14"/>
      <c r="M10" s="14"/>
      <c r="N10" s="14"/>
      <c r="O10" s="14"/>
      <c r="P10" s="14"/>
      <c r="Q10" s="14"/>
      <c r="R10" s="14"/>
      <c r="S10" s="97"/>
      <c r="T10" s="97"/>
      <c r="U10" s="97"/>
      <c r="V10" s="97"/>
    </row>
    <row r="11" spans="1:26" s="6" customFormat="1" ht="13.5">
      <c r="A11" s="49"/>
      <c r="B11" s="31"/>
      <c r="C11" s="49"/>
      <c r="D11" s="49"/>
      <c r="E11" s="49"/>
      <c r="F11" s="49"/>
      <c r="G11" s="125"/>
      <c r="H11" s="125"/>
      <c r="I11" s="125"/>
      <c r="J11" s="125"/>
      <c r="K11" s="14"/>
      <c r="L11" s="14"/>
      <c r="M11" s="14"/>
      <c r="N11" s="14"/>
      <c r="O11" s="14"/>
      <c r="P11" s="14"/>
      <c r="Q11" s="14"/>
      <c r="R11" s="14"/>
      <c r="S11" s="14"/>
      <c r="T11" s="14"/>
    </row>
    <row r="12" spans="1:26" s="6" customFormat="1" ht="13.5">
      <c r="A12" s="49" t="s">
        <v>71</v>
      </c>
      <c r="B12" s="31"/>
      <c r="C12" s="49"/>
      <c r="D12" s="49"/>
      <c r="E12" s="49"/>
      <c r="F12" s="49"/>
      <c r="G12" s="125"/>
      <c r="H12" s="125"/>
      <c r="I12" s="125"/>
      <c r="J12" s="125"/>
      <c r="K12" s="14"/>
      <c r="L12" s="14"/>
      <c r="M12" s="14"/>
      <c r="N12" s="14"/>
      <c r="O12" s="14"/>
      <c r="P12" s="14"/>
      <c r="Q12" s="14"/>
      <c r="R12" s="14"/>
      <c r="S12" s="14"/>
      <c r="T12" s="14"/>
    </row>
    <row r="13" spans="1:26" s="6" customFormat="1" ht="13.5">
      <c r="A13" s="14"/>
      <c r="B13" s="15"/>
      <c r="C13" s="14"/>
      <c r="D13" s="14"/>
      <c r="E13" s="14"/>
      <c r="F13" s="14"/>
      <c r="G13" s="40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 spans="1:26" s="6" customFormat="1" ht="13.5">
      <c r="A14" s="135" t="s">
        <v>15</v>
      </c>
      <c r="B14" s="135" t="s">
        <v>79</v>
      </c>
      <c r="C14" s="127" t="s">
        <v>80</v>
      </c>
      <c r="D14" s="136"/>
      <c r="E14" s="136"/>
      <c r="F14" s="136"/>
      <c r="G14" s="136"/>
      <c r="H14" s="137"/>
      <c r="I14" s="127" t="s">
        <v>21</v>
      </c>
      <c r="J14" s="136"/>
      <c r="K14" s="136"/>
      <c r="L14" s="136"/>
      <c r="M14" s="136"/>
      <c r="N14" s="137"/>
      <c r="O14" s="127" t="s">
        <v>22</v>
      </c>
      <c r="P14" s="128"/>
      <c r="Q14" s="128"/>
      <c r="R14" s="128"/>
      <c r="S14" s="128"/>
      <c r="T14" s="129"/>
      <c r="U14" s="133" t="s">
        <v>81</v>
      </c>
      <c r="V14" s="133"/>
      <c r="W14" s="133"/>
      <c r="X14" s="133"/>
      <c r="Y14" s="133"/>
      <c r="Z14" s="133"/>
    </row>
    <row r="15" spans="1:26" s="6" customFormat="1" ht="13.5">
      <c r="A15" s="77"/>
      <c r="B15" s="135"/>
      <c r="C15" s="138"/>
      <c r="D15" s="139"/>
      <c r="E15" s="139"/>
      <c r="F15" s="139"/>
      <c r="G15" s="139"/>
      <c r="H15" s="140"/>
      <c r="I15" s="138"/>
      <c r="J15" s="139"/>
      <c r="K15" s="139"/>
      <c r="L15" s="139"/>
      <c r="M15" s="139"/>
      <c r="N15" s="140"/>
      <c r="O15" s="130"/>
      <c r="P15" s="131"/>
      <c r="Q15" s="131"/>
      <c r="R15" s="131"/>
      <c r="S15" s="131"/>
      <c r="T15" s="132"/>
      <c r="U15" s="133"/>
      <c r="V15" s="133"/>
      <c r="W15" s="133"/>
      <c r="X15" s="133"/>
      <c r="Y15" s="133"/>
      <c r="Z15" s="133"/>
    </row>
    <row r="16" spans="1:26" s="51" customFormat="1" ht="35.65" customHeight="1">
      <c r="A16" s="52">
        <v>1</v>
      </c>
      <c r="B16" s="53" t="s">
        <v>92</v>
      </c>
      <c r="C16" s="134"/>
      <c r="D16" s="134"/>
      <c r="E16" s="134"/>
      <c r="F16" s="134"/>
      <c r="G16" s="134"/>
      <c r="H16" s="134"/>
      <c r="I16" s="134" t="s">
        <v>3</v>
      </c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34"/>
      <c r="Y16" s="134"/>
      <c r="Z16" s="134"/>
    </row>
    <row r="17" spans="1:26" s="51" customFormat="1" ht="22.5" customHeight="1">
      <c r="A17" s="141">
        <v>2</v>
      </c>
      <c r="B17" s="50" t="s">
        <v>82</v>
      </c>
      <c r="C17" s="134"/>
      <c r="D17" s="134"/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134"/>
    </row>
    <row r="18" spans="1:26" s="51" customFormat="1" ht="22.5" customHeight="1">
      <c r="A18" s="142"/>
      <c r="B18" s="50" t="s">
        <v>83</v>
      </c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4"/>
      <c r="U18" s="134"/>
      <c r="V18" s="134"/>
      <c r="W18" s="134"/>
      <c r="X18" s="134"/>
      <c r="Y18" s="134"/>
      <c r="Z18" s="134"/>
    </row>
    <row r="19" spans="1:26" s="51" customFormat="1" ht="22.5" customHeight="1">
      <c r="A19" s="142"/>
      <c r="B19" s="50" t="s">
        <v>84</v>
      </c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34"/>
      <c r="Y19" s="134"/>
      <c r="Z19" s="134"/>
    </row>
    <row r="20" spans="1:26" s="51" customFormat="1" ht="22.5" customHeight="1">
      <c r="A20" s="142"/>
      <c r="B20" s="50" t="s">
        <v>85</v>
      </c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</row>
    <row r="21" spans="1:26" s="51" customFormat="1" ht="22.5" customHeight="1">
      <c r="A21" s="143"/>
      <c r="B21" s="50" t="s">
        <v>86</v>
      </c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</row>
    <row r="22" spans="1:26" s="51" customFormat="1" ht="22.5" customHeight="1">
      <c r="A22" s="52">
        <v>3</v>
      </c>
      <c r="B22" s="53" t="s">
        <v>87</v>
      </c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</row>
    <row r="23" spans="1:26" s="51" customFormat="1" ht="22.5" customHeight="1">
      <c r="A23" s="52">
        <v>4</v>
      </c>
      <c r="B23" s="53" t="s">
        <v>93</v>
      </c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134"/>
      <c r="U23" s="134"/>
      <c r="V23" s="134"/>
      <c r="W23" s="134"/>
      <c r="X23" s="134"/>
      <c r="Y23" s="134"/>
      <c r="Z23" s="134"/>
    </row>
    <row r="24" spans="1:26" s="51" customFormat="1" ht="22.5" customHeight="1">
      <c r="A24" s="52">
        <v>5</v>
      </c>
      <c r="B24" s="53" t="s">
        <v>94</v>
      </c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4"/>
      <c r="R24" s="134"/>
      <c r="S24" s="134"/>
      <c r="T24" s="134"/>
      <c r="U24" s="134"/>
      <c r="V24" s="134"/>
      <c r="W24" s="134"/>
      <c r="X24" s="134"/>
      <c r="Y24" s="134"/>
      <c r="Z24" s="134"/>
    </row>
    <row r="25" spans="1:26" s="51" customFormat="1" ht="20.65" customHeight="1">
      <c r="A25" s="52">
        <v>6</v>
      </c>
      <c r="B25" s="53" t="s">
        <v>95</v>
      </c>
      <c r="C25" s="134"/>
      <c r="D25" s="134"/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134"/>
      <c r="Z25" s="134"/>
    </row>
    <row r="26" spans="1:26" s="6" customFormat="1" ht="13.5">
      <c r="A26" s="7"/>
      <c r="C26" s="144"/>
      <c r="D26" s="144"/>
      <c r="E26" s="144"/>
      <c r="F26" s="144"/>
    </row>
    <row r="27" spans="1:26" s="6" customFormat="1" ht="15">
      <c r="A27" s="145" t="s">
        <v>96</v>
      </c>
      <c r="B27" s="145"/>
      <c r="C27" s="145"/>
      <c r="D27" s="145"/>
      <c r="E27" s="145"/>
      <c r="F27" s="145"/>
      <c r="G27" s="145"/>
      <c r="H27" s="145"/>
      <c r="I27" s="145"/>
      <c r="J27" s="145"/>
    </row>
    <row r="28" spans="1:26" s="55" customFormat="1" ht="15">
      <c r="A28" s="146" t="s">
        <v>97</v>
      </c>
      <c r="B28" s="147"/>
      <c r="C28" s="150" t="s">
        <v>98</v>
      </c>
      <c r="D28" s="150"/>
      <c r="E28" s="150"/>
      <c r="F28" s="150"/>
      <c r="G28" s="151" t="s">
        <v>99</v>
      </c>
      <c r="H28" s="152"/>
      <c r="I28" s="152"/>
      <c r="J28" s="153"/>
      <c r="L28" s="149" t="s">
        <v>3</v>
      </c>
      <c r="M28" s="149"/>
    </row>
    <row r="29" spans="1:26" s="55" customFormat="1" ht="15">
      <c r="A29" s="146" t="s">
        <v>100</v>
      </c>
      <c r="B29" s="147"/>
      <c r="C29" s="148">
        <v>10</v>
      </c>
      <c r="D29" s="148"/>
      <c r="E29" s="148"/>
      <c r="F29" s="148"/>
      <c r="G29" s="148">
        <v>10</v>
      </c>
      <c r="H29" s="148"/>
      <c r="I29" s="148"/>
      <c r="J29" s="148"/>
      <c r="L29" s="149"/>
      <c r="M29" s="149"/>
    </row>
    <row r="30" spans="1:26" s="55" customFormat="1" ht="15">
      <c r="A30" s="146" t="s">
        <v>101</v>
      </c>
      <c r="B30" s="147"/>
      <c r="C30" s="148">
        <v>20</v>
      </c>
      <c r="D30" s="148"/>
      <c r="E30" s="148"/>
      <c r="F30" s="148"/>
      <c r="G30" s="148">
        <v>20</v>
      </c>
      <c r="H30" s="148"/>
      <c r="I30" s="148"/>
      <c r="J30" s="148"/>
      <c r="L30" s="149"/>
      <c r="M30" s="149"/>
    </row>
    <row r="31" spans="1:26" s="55" customFormat="1" ht="15">
      <c r="A31" s="146" t="s">
        <v>102</v>
      </c>
      <c r="B31" s="147"/>
      <c r="C31" s="148">
        <v>30</v>
      </c>
      <c r="D31" s="148"/>
      <c r="E31" s="148"/>
      <c r="F31" s="148"/>
      <c r="G31" s="148">
        <v>30</v>
      </c>
      <c r="H31" s="148"/>
      <c r="I31" s="148"/>
      <c r="J31" s="148"/>
      <c r="L31" s="149"/>
      <c r="M31" s="149"/>
    </row>
    <row r="32" spans="1:26" s="55" customFormat="1" ht="15">
      <c r="A32" s="146" t="s">
        <v>103</v>
      </c>
      <c r="B32" s="147"/>
      <c r="C32" s="154">
        <v>40</v>
      </c>
      <c r="D32" s="155"/>
      <c r="E32" s="155"/>
      <c r="F32" s="156"/>
      <c r="G32" s="154">
        <v>40</v>
      </c>
      <c r="H32" s="155"/>
      <c r="I32" s="155"/>
      <c r="J32" s="156"/>
      <c r="L32" s="149"/>
      <c r="M32" s="149"/>
    </row>
    <row r="33" spans="1:26" s="55" customFormat="1" ht="15">
      <c r="A33" s="146" t="s">
        <v>104</v>
      </c>
      <c r="B33" s="147"/>
      <c r="C33" s="148">
        <v>50</v>
      </c>
      <c r="D33" s="148"/>
      <c r="E33" s="148"/>
      <c r="F33" s="148"/>
      <c r="G33" s="148">
        <v>50</v>
      </c>
      <c r="H33" s="148"/>
      <c r="I33" s="148"/>
      <c r="J33" s="148"/>
      <c r="L33" s="149"/>
      <c r="M33" s="149"/>
    </row>
    <row r="34" spans="1:26" s="55" customFormat="1" ht="15">
      <c r="A34" s="146" t="s">
        <v>105</v>
      </c>
      <c r="B34" s="147"/>
      <c r="C34" s="148">
        <v>100</v>
      </c>
      <c r="D34" s="148"/>
      <c r="E34" s="148"/>
      <c r="F34" s="148"/>
      <c r="G34" s="148">
        <v>100</v>
      </c>
      <c r="H34" s="148"/>
      <c r="I34" s="148"/>
      <c r="J34" s="148"/>
      <c r="L34" s="149"/>
      <c r="M34" s="149"/>
    </row>
    <row r="35" spans="1:26" s="55" customFormat="1" ht="15">
      <c r="A35" s="146" t="s">
        <v>106</v>
      </c>
      <c r="B35" s="147"/>
      <c r="C35" s="148">
        <v>200</v>
      </c>
      <c r="D35" s="148"/>
      <c r="E35" s="148"/>
      <c r="F35" s="148"/>
      <c r="G35" s="148">
        <v>200</v>
      </c>
      <c r="H35" s="148"/>
      <c r="I35" s="148"/>
      <c r="J35" s="148"/>
      <c r="L35" s="149"/>
      <c r="M35" s="149"/>
    </row>
    <row r="36" spans="1:26" s="55" customFormat="1" ht="15">
      <c r="A36" s="146" t="s">
        <v>107</v>
      </c>
      <c r="B36" s="147"/>
      <c r="C36" s="154" t="s">
        <v>108</v>
      </c>
      <c r="D36" s="155"/>
      <c r="E36" s="155"/>
      <c r="F36" s="155"/>
      <c r="G36" s="155"/>
      <c r="H36" s="155"/>
      <c r="I36" s="155"/>
      <c r="J36" s="156"/>
      <c r="L36" s="149"/>
      <c r="M36" s="149"/>
    </row>
    <row r="37" spans="1:26" s="55" customFormat="1" ht="15">
      <c r="A37" s="54"/>
      <c r="L37" s="149"/>
      <c r="M37" s="149"/>
    </row>
    <row r="38" spans="1:26" s="55" customFormat="1" ht="15">
      <c r="A38" s="54"/>
      <c r="L38" s="149"/>
      <c r="M38" s="149"/>
    </row>
    <row r="39" spans="1:26" s="6" customFormat="1" ht="13.5">
      <c r="A39" s="7"/>
      <c r="L39" s="144"/>
      <c r="M39" s="144"/>
    </row>
    <row r="40" spans="1:26" s="6" customFormat="1" ht="13.5">
      <c r="A40" s="7"/>
      <c r="L40" s="144"/>
      <c r="M40" s="144"/>
    </row>
    <row r="41" spans="1:26" s="6" customFormat="1" ht="13.5">
      <c r="A41" s="7"/>
      <c r="L41" s="144"/>
      <c r="M41" s="144"/>
    </row>
    <row r="42" spans="1:26" s="55" customFormat="1" ht="19.25" customHeight="1">
      <c r="A42" s="56" t="s">
        <v>109</v>
      </c>
      <c r="B42" s="57" t="s">
        <v>110</v>
      </c>
      <c r="C42" s="157" t="s">
        <v>111</v>
      </c>
      <c r="D42" s="158"/>
      <c r="E42" s="158"/>
      <c r="F42" s="158"/>
      <c r="G42" s="158"/>
      <c r="H42" s="158"/>
      <c r="I42" s="158"/>
      <c r="J42" s="158"/>
      <c r="K42" s="158"/>
      <c r="L42" s="158"/>
      <c r="M42" s="158"/>
      <c r="N42" s="159"/>
      <c r="O42" s="160" t="s">
        <v>112</v>
      </c>
      <c r="P42" s="161"/>
      <c r="Q42" s="161"/>
      <c r="R42" s="161"/>
      <c r="S42" s="162"/>
      <c r="T42" s="160" t="s">
        <v>113</v>
      </c>
      <c r="U42" s="161"/>
      <c r="V42" s="161"/>
      <c r="W42" s="162"/>
      <c r="X42" s="161" t="s">
        <v>114</v>
      </c>
      <c r="Y42" s="161"/>
      <c r="Z42" s="162"/>
    </row>
    <row r="43" spans="1:26" s="6" customFormat="1" ht="16.5" customHeight="1">
      <c r="A43" s="169" t="s">
        <v>115</v>
      </c>
      <c r="B43" s="56" t="s">
        <v>116</v>
      </c>
      <c r="C43" s="166" t="s">
        <v>117</v>
      </c>
      <c r="D43" s="167"/>
      <c r="E43" s="167"/>
      <c r="F43" s="167"/>
      <c r="G43" s="167"/>
      <c r="H43" s="167"/>
      <c r="I43" s="167"/>
      <c r="J43" s="167"/>
      <c r="K43" s="167"/>
      <c r="L43" s="167"/>
      <c r="M43" s="167"/>
      <c r="N43" s="168"/>
      <c r="O43" s="163" t="s">
        <v>118</v>
      </c>
      <c r="P43" s="164"/>
      <c r="Q43" s="164"/>
      <c r="R43" s="164"/>
      <c r="S43" s="165"/>
      <c r="T43" s="163" t="s">
        <v>119</v>
      </c>
      <c r="U43" s="164"/>
      <c r="V43" s="164"/>
      <c r="W43" s="165"/>
      <c r="X43" s="163">
        <v>1</v>
      </c>
      <c r="Y43" s="164"/>
      <c r="Z43" s="165"/>
    </row>
    <row r="44" spans="1:26" s="6" customFormat="1" ht="16.5" customHeight="1">
      <c r="A44" s="170"/>
      <c r="B44" s="56" t="s">
        <v>120</v>
      </c>
      <c r="C44" s="166" t="s">
        <v>121</v>
      </c>
      <c r="D44" s="167"/>
      <c r="E44" s="167"/>
      <c r="F44" s="167"/>
      <c r="G44" s="167"/>
      <c r="H44" s="167"/>
      <c r="I44" s="167"/>
      <c r="J44" s="167"/>
      <c r="K44" s="167"/>
      <c r="L44" s="167"/>
      <c r="M44" s="167"/>
      <c r="N44" s="168"/>
      <c r="O44" s="163" t="s">
        <v>118</v>
      </c>
      <c r="P44" s="164"/>
      <c r="Q44" s="164"/>
      <c r="R44" s="164"/>
      <c r="S44" s="165"/>
      <c r="T44" s="163" t="s">
        <v>122</v>
      </c>
      <c r="U44" s="164"/>
      <c r="V44" s="164"/>
      <c r="W44" s="165"/>
      <c r="X44" s="163">
        <v>1</v>
      </c>
      <c r="Y44" s="164"/>
      <c r="Z44" s="165"/>
    </row>
    <row r="45" spans="1:26" s="6" customFormat="1" ht="16.5" customHeight="1">
      <c r="A45" s="170"/>
      <c r="B45" s="56" t="s">
        <v>123</v>
      </c>
      <c r="C45" s="166" t="s">
        <v>124</v>
      </c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8"/>
      <c r="O45" s="163" t="s">
        <v>125</v>
      </c>
      <c r="P45" s="164"/>
      <c r="Q45" s="164"/>
      <c r="R45" s="164"/>
      <c r="S45" s="165"/>
      <c r="T45" s="163" t="s">
        <v>126</v>
      </c>
      <c r="U45" s="164"/>
      <c r="V45" s="164"/>
      <c r="W45" s="165"/>
      <c r="X45" s="163">
        <v>6</v>
      </c>
      <c r="Y45" s="164"/>
      <c r="Z45" s="165"/>
    </row>
    <row r="46" spans="1:26" s="6" customFormat="1" ht="16.5" customHeight="1">
      <c r="A46" s="170"/>
      <c r="B46" s="56" t="s">
        <v>127</v>
      </c>
      <c r="C46" s="166" t="s">
        <v>128</v>
      </c>
      <c r="D46" s="167"/>
      <c r="E46" s="167"/>
      <c r="F46" s="167"/>
      <c r="G46" s="167"/>
      <c r="H46" s="167"/>
      <c r="I46" s="167"/>
      <c r="J46" s="167"/>
      <c r="K46" s="167"/>
      <c r="L46" s="167"/>
      <c r="M46" s="167"/>
      <c r="N46" s="168"/>
      <c r="O46" s="163" t="s">
        <v>129</v>
      </c>
      <c r="P46" s="164"/>
      <c r="Q46" s="164"/>
      <c r="R46" s="164"/>
      <c r="S46" s="165"/>
      <c r="T46" s="163" t="s">
        <v>130</v>
      </c>
      <c r="U46" s="164"/>
      <c r="V46" s="164"/>
      <c r="W46" s="165"/>
      <c r="X46" s="163">
        <v>6</v>
      </c>
      <c r="Y46" s="164"/>
      <c r="Z46" s="165"/>
    </row>
    <row r="47" spans="1:26" s="6" customFormat="1" ht="16.5" customHeight="1">
      <c r="A47" s="171"/>
      <c r="B47" s="56" t="s">
        <v>131</v>
      </c>
      <c r="C47" s="166" t="s">
        <v>132</v>
      </c>
      <c r="D47" s="167"/>
      <c r="E47" s="167"/>
      <c r="F47" s="167"/>
      <c r="G47" s="167"/>
      <c r="H47" s="167"/>
      <c r="I47" s="167"/>
      <c r="J47" s="167"/>
      <c r="K47" s="167"/>
      <c r="L47" s="167"/>
      <c r="M47" s="167"/>
      <c r="N47" s="168"/>
      <c r="O47" s="163" t="s">
        <v>129</v>
      </c>
      <c r="P47" s="164"/>
      <c r="Q47" s="164"/>
      <c r="R47" s="164"/>
      <c r="S47" s="165"/>
      <c r="T47" s="163" t="s">
        <v>133</v>
      </c>
      <c r="U47" s="164"/>
      <c r="V47" s="164"/>
      <c r="W47" s="165"/>
      <c r="X47" s="163">
        <v>6</v>
      </c>
      <c r="Y47" s="164"/>
      <c r="Z47" s="165"/>
    </row>
    <row r="48" spans="1:26" s="6" customFormat="1" ht="16.5" customHeight="1">
      <c r="A48" s="172" t="s">
        <v>134</v>
      </c>
      <c r="B48" s="56" t="s">
        <v>135</v>
      </c>
      <c r="C48" s="166" t="s">
        <v>136</v>
      </c>
      <c r="D48" s="167"/>
      <c r="E48" s="167"/>
      <c r="F48" s="167"/>
      <c r="G48" s="167"/>
      <c r="H48" s="167"/>
      <c r="I48" s="167"/>
      <c r="J48" s="167"/>
      <c r="K48" s="167"/>
      <c r="L48" s="167"/>
      <c r="M48" s="167"/>
      <c r="N48" s="168"/>
      <c r="O48" s="163" t="s">
        <v>137</v>
      </c>
      <c r="P48" s="164"/>
      <c r="Q48" s="164"/>
      <c r="R48" s="164"/>
      <c r="S48" s="165"/>
      <c r="T48" s="163" t="s">
        <v>138</v>
      </c>
      <c r="U48" s="164"/>
      <c r="V48" s="164"/>
      <c r="W48" s="165"/>
      <c r="X48" s="163">
        <v>2</v>
      </c>
      <c r="Y48" s="164"/>
      <c r="Z48" s="165"/>
    </row>
    <row r="49" spans="1:26" s="6" customFormat="1" ht="16.5" customHeight="1">
      <c r="A49" s="173"/>
      <c r="B49" s="56" t="s">
        <v>139</v>
      </c>
      <c r="C49" s="166" t="s">
        <v>140</v>
      </c>
      <c r="D49" s="167"/>
      <c r="E49" s="167"/>
      <c r="F49" s="167"/>
      <c r="G49" s="167"/>
      <c r="H49" s="167"/>
      <c r="I49" s="167"/>
      <c r="J49" s="167"/>
      <c r="K49" s="167"/>
      <c r="L49" s="167"/>
      <c r="M49" s="167"/>
      <c r="N49" s="168"/>
      <c r="O49" s="163" t="s">
        <v>141</v>
      </c>
      <c r="P49" s="164"/>
      <c r="Q49" s="164"/>
      <c r="R49" s="164"/>
      <c r="S49" s="165"/>
      <c r="T49" s="163" t="s">
        <v>142</v>
      </c>
      <c r="U49" s="164"/>
      <c r="V49" s="164"/>
      <c r="W49" s="165"/>
      <c r="X49" s="163">
        <v>1</v>
      </c>
      <c r="Y49" s="164"/>
      <c r="Z49" s="165"/>
    </row>
    <row r="50" spans="1:26" s="6" customFormat="1" ht="16.5" customHeight="1">
      <c r="A50" s="172" t="s">
        <v>143</v>
      </c>
      <c r="B50" s="56" t="s">
        <v>144</v>
      </c>
      <c r="C50" s="166" t="s">
        <v>145</v>
      </c>
      <c r="D50" s="167"/>
      <c r="E50" s="167"/>
      <c r="F50" s="167"/>
      <c r="G50" s="167"/>
      <c r="H50" s="167"/>
      <c r="I50" s="167"/>
      <c r="J50" s="167"/>
      <c r="K50" s="167"/>
      <c r="L50" s="167"/>
      <c r="M50" s="167"/>
      <c r="N50" s="168"/>
      <c r="O50" s="163" t="s">
        <v>0</v>
      </c>
      <c r="P50" s="164"/>
      <c r="Q50" s="164"/>
      <c r="R50" s="164"/>
      <c r="S50" s="165"/>
      <c r="T50" s="163" t="s">
        <v>69</v>
      </c>
      <c r="U50" s="164"/>
      <c r="V50" s="164"/>
      <c r="W50" s="165"/>
      <c r="X50" s="163">
        <v>1</v>
      </c>
      <c r="Y50" s="164"/>
      <c r="Z50" s="165"/>
    </row>
    <row r="51" spans="1:26" s="6" customFormat="1" ht="16.5" customHeight="1">
      <c r="A51" s="174"/>
      <c r="B51" s="56" t="s">
        <v>146</v>
      </c>
      <c r="C51" s="166" t="s">
        <v>147</v>
      </c>
      <c r="D51" s="167"/>
      <c r="E51" s="167"/>
      <c r="F51" s="167"/>
      <c r="G51" s="167"/>
      <c r="H51" s="167"/>
      <c r="I51" s="167"/>
      <c r="J51" s="167"/>
      <c r="K51" s="167"/>
      <c r="L51" s="167"/>
      <c r="M51" s="167"/>
      <c r="N51" s="168"/>
      <c r="O51" s="163" t="s">
        <v>0</v>
      </c>
      <c r="P51" s="164"/>
      <c r="Q51" s="164"/>
      <c r="R51" s="164"/>
      <c r="S51" s="165"/>
      <c r="T51" s="163" t="s">
        <v>148</v>
      </c>
      <c r="U51" s="164"/>
      <c r="V51" s="164"/>
      <c r="W51" s="165"/>
      <c r="X51" s="163">
        <v>4</v>
      </c>
      <c r="Y51" s="164"/>
      <c r="Z51" s="165"/>
    </row>
    <row r="52" spans="1:26" s="6" customFormat="1" ht="16.5" customHeight="1">
      <c r="A52" s="174"/>
      <c r="B52" s="56" t="s">
        <v>149</v>
      </c>
      <c r="C52" s="166" t="s">
        <v>150</v>
      </c>
      <c r="D52" s="167"/>
      <c r="E52" s="167"/>
      <c r="F52" s="167"/>
      <c r="G52" s="167"/>
      <c r="H52" s="167"/>
      <c r="I52" s="167"/>
      <c r="J52" s="167"/>
      <c r="K52" s="167"/>
      <c r="L52" s="167"/>
      <c r="M52" s="167"/>
      <c r="N52" s="168"/>
      <c r="O52" s="163" t="s">
        <v>118</v>
      </c>
      <c r="P52" s="164"/>
      <c r="Q52" s="164"/>
      <c r="R52" s="164"/>
      <c r="S52" s="165"/>
      <c r="T52" s="163" t="s">
        <v>151</v>
      </c>
      <c r="U52" s="164"/>
      <c r="V52" s="164"/>
      <c r="W52" s="165"/>
      <c r="X52" s="163">
        <v>1</v>
      </c>
      <c r="Y52" s="164"/>
      <c r="Z52" s="165"/>
    </row>
    <row r="53" spans="1:26" s="6" customFormat="1" ht="16.5" customHeight="1">
      <c r="A53" s="173"/>
      <c r="B53" s="56" t="s">
        <v>152</v>
      </c>
      <c r="C53" s="166" t="s">
        <v>153</v>
      </c>
      <c r="D53" s="167"/>
      <c r="E53" s="167"/>
      <c r="F53" s="167"/>
      <c r="G53" s="167"/>
      <c r="H53" s="167"/>
      <c r="I53" s="167"/>
      <c r="J53" s="167"/>
      <c r="K53" s="167"/>
      <c r="L53" s="167"/>
      <c r="M53" s="167"/>
      <c r="N53" s="168"/>
      <c r="O53" s="163" t="s">
        <v>118</v>
      </c>
      <c r="P53" s="164"/>
      <c r="Q53" s="164"/>
      <c r="R53" s="164"/>
      <c r="S53" s="165"/>
      <c r="T53" s="163" t="s">
        <v>154</v>
      </c>
      <c r="U53" s="164"/>
      <c r="V53" s="164"/>
      <c r="W53" s="165"/>
      <c r="X53" s="163">
        <v>1</v>
      </c>
      <c r="Y53" s="164"/>
      <c r="Z53" s="165"/>
    </row>
    <row r="54" spans="1:26" s="6" customFormat="1" ht="16.5" customHeight="1">
      <c r="A54" s="175" t="s">
        <v>155</v>
      </c>
      <c r="B54" s="56" t="s">
        <v>156</v>
      </c>
      <c r="C54" s="166" t="s">
        <v>157</v>
      </c>
      <c r="D54" s="167"/>
      <c r="E54" s="167"/>
      <c r="F54" s="167"/>
      <c r="G54" s="167"/>
      <c r="H54" s="167"/>
      <c r="I54" s="167"/>
      <c r="J54" s="167"/>
      <c r="K54" s="167"/>
      <c r="L54" s="167"/>
      <c r="M54" s="167"/>
      <c r="N54" s="168"/>
      <c r="O54" s="163" t="s">
        <v>158</v>
      </c>
      <c r="P54" s="164"/>
      <c r="Q54" s="164"/>
      <c r="R54" s="164"/>
      <c r="S54" s="165"/>
      <c r="T54" s="163" t="s">
        <v>159</v>
      </c>
      <c r="U54" s="164"/>
      <c r="V54" s="164"/>
      <c r="W54" s="165"/>
      <c r="X54" s="163">
        <v>1</v>
      </c>
      <c r="Y54" s="164"/>
      <c r="Z54" s="165"/>
    </row>
    <row r="55" spans="1:26" s="6" customFormat="1" ht="16.5" customHeight="1">
      <c r="A55" s="176"/>
      <c r="B55" s="56" t="s">
        <v>160</v>
      </c>
      <c r="C55" s="166" t="s">
        <v>161</v>
      </c>
      <c r="D55" s="167"/>
      <c r="E55" s="167"/>
      <c r="F55" s="167"/>
      <c r="G55" s="167"/>
      <c r="H55" s="167"/>
      <c r="I55" s="167"/>
      <c r="J55" s="167"/>
      <c r="K55" s="167"/>
      <c r="L55" s="167"/>
      <c r="M55" s="167"/>
      <c r="N55" s="168"/>
      <c r="O55" s="163" t="s">
        <v>0</v>
      </c>
      <c r="P55" s="164"/>
      <c r="Q55" s="164"/>
      <c r="R55" s="164"/>
      <c r="S55" s="165"/>
      <c r="T55" s="163" t="s">
        <v>162</v>
      </c>
      <c r="U55" s="164"/>
      <c r="V55" s="164"/>
      <c r="W55" s="165"/>
      <c r="X55" s="163">
        <v>2</v>
      </c>
      <c r="Y55" s="164"/>
      <c r="Z55" s="165"/>
    </row>
    <row r="56" spans="1:26" s="6" customFormat="1" ht="16.5" customHeight="1">
      <c r="A56" s="176"/>
      <c r="B56" s="56" t="s">
        <v>163</v>
      </c>
      <c r="C56" s="166" t="s">
        <v>164</v>
      </c>
      <c r="D56" s="167"/>
      <c r="E56" s="167"/>
      <c r="F56" s="167"/>
      <c r="G56" s="167"/>
      <c r="H56" s="167"/>
      <c r="I56" s="167"/>
      <c r="J56" s="167"/>
      <c r="K56" s="167"/>
      <c r="L56" s="167"/>
      <c r="M56" s="167"/>
      <c r="N56" s="168"/>
      <c r="O56" s="163" t="s">
        <v>0</v>
      </c>
      <c r="P56" s="164"/>
      <c r="Q56" s="164"/>
      <c r="R56" s="164"/>
      <c r="S56" s="165"/>
      <c r="T56" s="163" t="s">
        <v>165</v>
      </c>
      <c r="U56" s="164"/>
      <c r="V56" s="164"/>
      <c r="W56" s="165"/>
      <c r="X56" s="163">
        <v>2</v>
      </c>
      <c r="Y56" s="164"/>
      <c r="Z56" s="165"/>
    </row>
    <row r="57" spans="1:26" s="6" customFormat="1" ht="16.5" customHeight="1">
      <c r="A57" s="176"/>
      <c r="B57" s="56" t="s">
        <v>166</v>
      </c>
      <c r="C57" s="166" t="s">
        <v>167</v>
      </c>
      <c r="D57" s="167"/>
      <c r="E57" s="167"/>
      <c r="F57" s="167"/>
      <c r="G57" s="167"/>
      <c r="H57" s="167"/>
      <c r="I57" s="167"/>
      <c r="J57" s="167"/>
      <c r="K57" s="167"/>
      <c r="L57" s="167"/>
      <c r="M57" s="167"/>
      <c r="N57" s="168"/>
      <c r="O57" s="163" t="s">
        <v>0</v>
      </c>
      <c r="P57" s="164"/>
      <c r="Q57" s="164"/>
      <c r="R57" s="164"/>
      <c r="S57" s="165"/>
      <c r="T57" s="163" t="s">
        <v>168</v>
      </c>
      <c r="U57" s="164"/>
      <c r="V57" s="164"/>
      <c r="W57" s="165"/>
      <c r="X57" s="163">
        <v>2</v>
      </c>
      <c r="Y57" s="164"/>
      <c r="Z57" s="165"/>
    </row>
    <row r="58" spans="1:26" s="6" customFormat="1" ht="16.5" customHeight="1">
      <c r="A58" s="177"/>
      <c r="B58" s="56" t="s">
        <v>169</v>
      </c>
      <c r="C58" s="166" t="s">
        <v>170</v>
      </c>
      <c r="D58" s="167"/>
      <c r="E58" s="167"/>
      <c r="F58" s="167"/>
      <c r="G58" s="167"/>
      <c r="H58" s="167"/>
      <c r="I58" s="167"/>
      <c r="J58" s="167"/>
      <c r="K58" s="167"/>
      <c r="L58" s="167"/>
      <c r="M58" s="167"/>
      <c r="N58" s="168"/>
      <c r="O58" s="163" t="s">
        <v>0</v>
      </c>
      <c r="P58" s="164"/>
      <c r="Q58" s="164"/>
      <c r="R58" s="164"/>
      <c r="S58" s="165"/>
      <c r="T58" s="163" t="s">
        <v>171</v>
      </c>
      <c r="U58" s="164"/>
      <c r="V58" s="164"/>
      <c r="W58" s="165"/>
      <c r="X58" s="163">
        <v>22</v>
      </c>
      <c r="Y58" s="164"/>
      <c r="Z58" s="165"/>
    </row>
    <row r="59" spans="1:26" s="6" customFormat="1" ht="16.5" customHeight="1">
      <c r="A59" s="58" t="s">
        <v>172</v>
      </c>
      <c r="B59" s="56" t="s">
        <v>173</v>
      </c>
      <c r="C59" s="166" t="s">
        <v>174</v>
      </c>
      <c r="D59" s="167"/>
      <c r="E59" s="167"/>
      <c r="F59" s="167"/>
      <c r="G59" s="167"/>
      <c r="H59" s="167"/>
      <c r="I59" s="167"/>
      <c r="J59" s="167"/>
      <c r="K59" s="167"/>
      <c r="L59" s="167"/>
      <c r="M59" s="167"/>
      <c r="N59" s="168"/>
      <c r="O59" s="163" t="s">
        <v>0</v>
      </c>
      <c r="P59" s="164"/>
      <c r="Q59" s="164"/>
      <c r="R59" s="164"/>
      <c r="S59" s="165"/>
      <c r="T59" s="163" t="s">
        <v>41</v>
      </c>
      <c r="U59" s="164"/>
      <c r="V59" s="164"/>
      <c r="W59" s="165"/>
      <c r="X59" s="163">
        <v>8</v>
      </c>
      <c r="Y59" s="164"/>
      <c r="Z59" s="165"/>
    </row>
    <row r="60" spans="1:26" s="6" customFormat="1" ht="16.5" customHeight="1">
      <c r="A60" s="58" t="s">
        <v>175</v>
      </c>
      <c r="B60" s="56" t="s">
        <v>176</v>
      </c>
      <c r="C60" s="166" t="s">
        <v>128</v>
      </c>
      <c r="D60" s="167"/>
      <c r="E60" s="167"/>
      <c r="F60" s="167"/>
      <c r="G60" s="167"/>
      <c r="H60" s="167"/>
      <c r="I60" s="167"/>
      <c r="J60" s="167"/>
      <c r="K60" s="167"/>
      <c r="L60" s="167"/>
      <c r="M60" s="167"/>
      <c r="N60" s="168"/>
      <c r="O60" s="163" t="s">
        <v>118</v>
      </c>
      <c r="P60" s="164"/>
      <c r="Q60" s="164"/>
      <c r="R60" s="164"/>
      <c r="S60" s="165"/>
      <c r="T60" s="163" t="s">
        <v>177</v>
      </c>
      <c r="U60" s="164"/>
      <c r="V60" s="164"/>
      <c r="W60" s="165"/>
      <c r="X60" s="163">
        <v>1</v>
      </c>
      <c r="Y60" s="164"/>
      <c r="Z60" s="165"/>
    </row>
    <row r="61" spans="1:26" s="6" customFormat="1" ht="16.5" customHeight="1">
      <c r="A61" s="178" t="s">
        <v>178</v>
      </c>
      <c r="B61" s="56" t="s">
        <v>179</v>
      </c>
      <c r="C61" s="166" t="s">
        <v>161</v>
      </c>
      <c r="D61" s="167"/>
      <c r="E61" s="167"/>
      <c r="F61" s="167"/>
      <c r="G61" s="167"/>
      <c r="H61" s="167"/>
      <c r="I61" s="167"/>
      <c r="J61" s="167"/>
      <c r="K61" s="167"/>
      <c r="L61" s="167"/>
      <c r="M61" s="167"/>
      <c r="N61" s="168"/>
      <c r="O61" s="163" t="s">
        <v>0</v>
      </c>
      <c r="P61" s="164"/>
      <c r="Q61" s="164"/>
      <c r="R61" s="164"/>
      <c r="S61" s="165"/>
      <c r="T61" s="163" t="s">
        <v>162</v>
      </c>
      <c r="U61" s="164"/>
      <c r="V61" s="164"/>
      <c r="W61" s="165"/>
      <c r="X61" s="163">
        <v>2</v>
      </c>
      <c r="Y61" s="164"/>
      <c r="Z61" s="165"/>
    </row>
    <row r="62" spans="1:26" s="6" customFormat="1" ht="16.5" customHeight="1">
      <c r="A62" s="179"/>
      <c r="B62" s="56" t="s">
        <v>180</v>
      </c>
      <c r="C62" s="166" t="s">
        <v>181</v>
      </c>
      <c r="D62" s="167"/>
      <c r="E62" s="167"/>
      <c r="F62" s="167"/>
      <c r="G62" s="167"/>
      <c r="H62" s="167"/>
      <c r="I62" s="167"/>
      <c r="J62" s="167"/>
      <c r="K62" s="167"/>
      <c r="L62" s="167"/>
      <c r="M62" s="167"/>
      <c r="N62" s="168"/>
      <c r="O62" s="163" t="s">
        <v>0</v>
      </c>
      <c r="P62" s="164"/>
      <c r="Q62" s="164"/>
      <c r="R62" s="164"/>
      <c r="S62" s="165"/>
      <c r="T62" s="163" t="s">
        <v>182</v>
      </c>
      <c r="U62" s="164"/>
      <c r="V62" s="164"/>
      <c r="W62" s="165"/>
      <c r="X62" s="163">
        <v>1</v>
      </c>
      <c r="Y62" s="164"/>
      <c r="Z62" s="165"/>
    </row>
    <row r="63" spans="1:26" s="6" customFormat="1" ht="16.5" customHeight="1">
      <c r="A63" s="58" t="s">
        <v>183</v>
      </c>
      <c r="B63" s="56" t="s">
        <v>184</v>
      </c>
      <c r="C63" s="166" t="s">
        <v>132</v>
      </c>
      <c r="D63" s="167"/>
      <c r="E63" s="167"/>
      <c r="F63" s="167"/>
      <c r="G63" s="167"/>
      <c r="H63" s="167"/>
      <c r="I63" s="167"/>
      <c r="J63" s="167"/>
      <c r="K63" s="167"/>
      <c r="L63" s="167"/>
      <c r="M63" s="167"/>
      <c r="N63" s="168"/>
      <c r="O63" s="163" t="s">
        <v>129</v>
      </c>
      <c r="P63" s="164"/>
      <c r="Q63" s="164"/>
      <c r="R63" s="164"/>
      <c r="S63" s="165"/>
      <c r="T63" s="163" t="s">
        <v>133</v>
      </c>
      <c r="U63" s="164"/>
      <c r="V63" s="164"/>
      <c r="W63" s="165"/>
      <c r="X63" s="163">
        <v>1</v>
      </c>
      <c r="Y63" s="164"/>
      <c r="Z63" s="165"/>
    </row>
    <row r="64" spans="1:26" s="6" customFormat="1" ht="16.5" customHeight="1">
      <c r="A64" s="58" t="s">
        <v>185</v>
      </c>
      <c r="B64" s="56" t="s">
        <v>186</v>
      </c>
      <c r="C64" s="166" t="s">
        <v>157</v>
      </c>
      <c r="D64" s="167"/>
      <c r="E64" s="167"/>
      <c r="F64" s="167"/>
      <c r="G64" s="167"/>
      <c r="H64" s="167"/>
      <c r="I64" s="167"/>
      <c r="J64" s="167"/>
      <c r="K64" s="167"/>
      <c r="L64" s="167"/>
      <c r="M64" s="167"/>
      <c r="N64" s="168"/>
      <c r="O64" s="163" t="s">
        <v>158</v>
      </c>
      <c r="P64" s="164"/>
      <c r="Q64" s="164"/>
      <c r="R64" s="164"/>
      <c r="S64" s="165"/>
      <c r="T64" s="163" t="s">
        <v>159</v>
      </c>
      <c r="U64" s="164"/>
      <c r="V64" s="164"/>
      <c r="W64" s="165"/>
      <c r="X64" s="163">
        <v>1</v>
      </c>
      <c r="Y64" s="164"/>
      <c r="Z64" s="165"/>
    </row>
    <row r="65" spans="1:26" s="6" customFormat="1" ht="16.5" customHeight="1">
      <c r="A65" s="58" t="s">
        <v>187</v>
      </c>
      <c r="B65" s="56" t="s">
        <v>188</v>
      </c>
      <c r="C65" s="166" t="s">
        <v>117</v>
      </c>
      <c r="D65" s="167"/>
      <c r="E65" s="167"/>
      <c r="F65" s="167"/>
      <c r="G65" s="167"/>
      <c r="H65" s="167"/>
      <c r="I65" s="167"/>
      <c r="J65" s="167"/>
      <c r="K65" s="167"/>
      <c r="L65" s="167"/>
      <c r="M65" s="167"/>
      <c r="N65" s="168"/>
      <c r="O65" s="163" t="s">
        <v>118</v>
      </c>
      <c r="P65" s="164"/>
      <c r="Q65" s="164"/>
      <c r="R65" s="164"/>
      <c r="S65" s="165"/>
      <c r="T65" s="163" t="s">
        <v>189</v>
      </c>
      <c r="U65" s="164"/>
      <c r="V65" s="164"/>
      <c r="W65" s="165"/>
      <c r="X65" s="163">
        <v>1</v>
      </c>
      <c r="Y65" s="164"/>
      <c r="Z65" s="165"/>
    </row>
    <row r="66" spans="1:26" s="6" customFormat="1" ht="16.5" customHeight="1">
      <c r="A66" s="58" t="s">
        <v>190</v>
      </c>
      <c r="B66" s="56" t="s">
        <v>191</v>
      </c>
      <c r="C66" s="166" t="s">
        <v>150</v>
      </c>
      <c r="D66" s="167"/>
      <c r="E66" s="167"/>
      <c r="F66" s="167"/>
      <c r="G66" s="167"/>
      <c r="H66" s="167"/>
      <c r="I66" s="167"/>
      <c r="J66" s="167"/>
      <c r="K66" s="167"/>
      <c r="L66" s="167"/>
      <c r="M66" s="167"/>
      <c r="N66" s="168"/>
      <c r="O66" s="163" t="s">
        <v>118</v>
      </c>
      <c r="P66" s="164"/>
      <c r="Q66" s="164"/>
      <c r="R66" s="164"/>
      <c r="S66" s="165"/>
      <c r="T66" s="163" t="s">
        <v>151</v>
      </c>
      <c r="U66" s="164"/>
      <c r="V66" s="164"/>
      <c r="W66" s="165"/>
      <c r="X66" s="163">
        <v>1</v>
      </c>
      <c r="Y66" s="164"/>
      <c r="Z66" s="165"/>
    </row>
    <row r="67" spans="1:26" s="6" customFormat="1" ht="16.5" customHeight="1">
      <c r="A67" s="58" t="s">
        <v>192</v>
      </c>
      <c r="B67" s="56" t="s">
        <v>193</v>
      </c>
      <c r="C67" s="166" t="s">
        <v>194</v>
      </c>
      <c r="D67" s="167"/>
      <c r="E67" s="167"/>
      <c r="F67" s="167"/>
      <c r="G67" s="167"/>
      <c r="H67" s="167"/>
      <c r="I67" s="167"/>
      <c r="J67" s="167"/>
      <c r="K67" s="167"/>
      <c r="L67" s="167"/>
      <c r="M67" s="167"/>
      <c r="N67" s="168"/>
      <c r="O67" s="163" t="s">
        <v>129</v>
      </c>
      <c r="P67" s="164"/>
      <c r="Q67" s="164"/>
      <c r="R67" s="164"/>
      <c r="S67" s="165"/>
      <c r="T67" s="163" t="s">
        <v>130</v>
      </c>
      <c r="U67" s="164"/>
      <c r="V67" s="164"/>
      <c r="W67" s="165"/>
      <c r="X67" s="163">
        <v>6</v>
      </c>
      <c r="Y67" s="164"/>
      <c r="Z67" s="165"/>
    </row>
    <row r="68" spans="1:26" s="6" customFormat="1" ht="16.5" customHeight="1">
      <c r="A68" s="56">
        <v>13</v>
      </c>
      <c r="B68" s="56" t="s">
        <v>195</v>
      </c>
      <c r="C68" s="180" t="s">
        <v>196</v>
      </c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82"/>
      <c r="O68" s="183" t="s">
        <v>118</v>
      </c>
      <c r="P68" s="184"/>
      <c r="Q68" s="184"/>
      <c r="R68" s="184"/>
      <c r="S68" s="185"/>
      <c r="T68" s="163" t="s">
        <v>119</v>
      </c>
      <c r="U68" s="164"/>
      <c r="V68" s="164"/>
      <c r="W68" s="165"/>
      <c r="X68" s="163">
        <v>1</v>
      </c>
      <c r="Y68" s="164"/>
      <c r="Z68" s="165"/>
    </row>
    <row r="69" spans="1:26" s="6" customFormat="1" ht="16.5" customHeight="1">
      <c r="A69" s="56" t="s">
        <v>3</v>
      </c>
      <c r="B69" s="56" t="s">
        <v>197</v>
      </c>
      <c r="C69" s="180" t="s">
        <v>198</v>
      </c>
      <c r="D69" s="181"/>
      <c r="E69" s="181"/>
      <c r="F69" s="181"/>
      <c r="G69" s="181"/>
      <c r="H69" s="181"/>
      <c r="I69" s="181"/>
      <c r="J69" s="181"/>
      <c r="K69" s="181"/>
      <c r="L69" s="181"/>
      <c r="M69" s="181"/>
      <c r="N69" s="182"/>
      <c r="O69" s="183" t="s">
        <v>118</v>
      </c>
      <c r="P69" s="184"/>
      <c r="Q69" s="184"/>
      <c r="R69" s="184"/>
      <c r="S69" s="185"/>
      <c r="T69" s="163" t="s">
        <v>122</v>
      </c>
      <c r="U69" s="164"/>
      <c r="V69" s="164"/>
      <c r="W69" s="165"/>
      <c r="X69" s="163">
        <v>1</v>
      </c>
      <c r="Y69" s="164"/>
      <c r="Z69" s="165"/>
    </row>
    <row r="70" spans="1:26" s="6" customFormat="1" ht="16.5" customHeight="1">
      <c r="A70" s="56" t="s">
        <v>3</v>
      </c>
      <c r="B70" s="56" t="s">
        <v>199</v>
      </c>
      <c r="C70" s="180" t="s">
        <v>200</v>
      </c>
      <c r="D70" s="181"/>
      <c r="E70" s="181"/>
      <c r="F70" s="181"/>
      <c r="G70" s="181"/>
      <c r="H70" s="181"/>
      <c r="I70" s="181"/>
      <c r="J70" s="181"/>
      <c r="K70" s="181"/>
      <c r="L70" s="181"/>
      <c r="M70" s="181"/>
      <c r="N70" s="182"/>
      <c r="O70" s="183" t="s">
        <v>125</v>
      </c>
      <c r="P70" s="184"/>
      <c r="Q70" s="184"/>
      <c r="R70" s="184"/>
      <c r="S70" s="185"/>
      <c r="T70" s="163" t="s">
        <v>126</v>
      </c>
      <c r="U70" s="164"/>
      <c r="V70" s="164"/>
      <c r="W70" s="165"/>
      <c r="X70" s="163">
        <v>6</v>
      </c>
      <c r="Y70" s="164"/>
      <c r="Z70" s="165"/>
    </row>
    <row r="71" spans="1:26" s="6" customFormat="1" ht="16.5" customHeight="1">
      <c r="A71" s="56" t="s">
        <v>3</v>
      </c>
      <c r="B71" s="56" t="s">
        <v>201</v>
      </c>
      <c r="C71" s="180" t="s">
        <v>202</v>
      </c>
      <c r="D71" s="181"/>
      <c r="E71" s="181"/>
      <c r="F71" s="181"/>
      <c r="G71" s="181"/>
      <c r="H71" s="181"/>
      <c r="I71" s="181"/>
      <c r="J71" s="181"/>
      <c r="K71" s="181"/>
      <c r="L71" s="181"/>
      <c r="M71" s="181"/>
      <c r="N71" s="182"/>
      <c r="O71" s="183" t="s">
        <v>129</v>
      </c>
      <c r="P71" s="184"/>
      <c r="Q71" s="184"/>
      <c r="R71" s="184"/>
      <c r="S71" s="185"/>
      <c r="T71" s="163" t="s">
        <v>130</v>
      </c>
      <c r="U71" s="164"/>
      <c r="V71" s="164"/>
      <c r="W71" s="165"/>
      <c r="X71" s="163">
        <v>6</v>
      </c>
      <c r="Y71" s="164"/>
      <c r="Z71" s="165"/>
    </row>
    <row r="72" spans="1:26" s="6" customFormat="1" ht="16.5" customHeight="1">
      <c r="A72" s="56" t="s">
        <v>3</v>
      </c>
      <c r="B72" s="56" t="s">
        <v>203</v>
      </c>
      <c r="C72" s="180" t="s">
        <v>204</v>
      </c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2"/>
      <c r="O72" s="183" t="s">
        <v>129</v>
      </c>
      <c r="P72" s="184"/>
      <c r="Q72" s="184"/>
      <c r="R72" s="184"/>
      <c r="S72" s="185"/>
      <c r="T72" s="163" t="s">
        <v>133</v>
      </c>
      <c r="U72" s="164"/>
      <c r="V72" s="164"/>
      <c r="W72" s="165"/>
      <c r="X72" s="163">
        <v>6</v>
      </c>
      <c r="Y72" s="164"/>
      <c r="Z72" s="165"/>
    </row>
    <row r="73" spans="1:26" s="6" customFormat="1" ht="16.5" customHeight="1">
      <c r="A73" s="56">
        <v>14</v>
      </c>
      <c r="B73" s="9" t="s">
        <v>205</v>
      </c>
      <c r="C73" s="180" t="s">
        <v>206</v>
      </c>
      <c r="D73" s="164"/>
      <c r="E73" s="164"/>
      <c r="F73" s="164"/>
      <c r="G73" s="164"/>
      <c r="H73" s="164"/>
      <c r="I73" s="164"/>
      <c r="J73" s="164"/>
      <c r="K73" s="164"/>
      <c r="L73" s="164"/>
      <c r="M73" s="164"/>
      <c r="N73" s="165"/>
      <c r="O73" s="183" t="s">
        <v>0</v>
      </c>
      <c r="P73" s="184"/>
      <c r="Q73" s="184"/>
      <c r="R73" s="184"/>
      <c r="S73" s="185"/>
      <c r="T73" s="163" t="s">
        <v>69</v>
      </c>
      <c r="U73" s="164"/>
      <c r="V73" s="164"/>
      <c r="W73" s="165"/>
      <c r="X73" s="186">
        <v>1</v>
      </c>
      <c r="Y73" s="187"/>
      <c r="Z73" s="188"/>
    </row>
    <row r="74" spans="1:26" s="6" customFormat="1" ht="16.5" customHeight="1">
      <c r="A74" s="56" t="s">
        <v>3</v>
      </c>
      <c r="B74" s="9" t="s">
        <v>207</v>
      </c>
      <c r="C74" s="180" t="s">
        <v>208</v>
      </c>
      <c r="D74" s="164"/>
      <c r="E74" s="164"/>
      <c r="F74" s="164"/>
      <c r="G74" s="164"/>
      <c r="H74" s="164"/>
      <c r="I74" s="164"/>
      <c r="J74" s="164"/>
      <c r="K74" s="164"/>
      <c r="L74" s="164"/>
      <c r="M74" s="164"/>
      <c r="N74" s="165"/>
      <c r="O74" s="183" t="s">
        <v>0</v>
      </c>
      <c r="P74" s="184"/>
      <c r="Q74" s="184"/>
      <c r="R74" s="184"/>
      <c r="S74" s="185"/>
      <c r="T74" s="163" t="s">
        <v>148</v>
      </c>
      <c r="U74" s="164"/>
      <c r="V74" s="164"/>
      <c r="W74" s="165"/>
      <c r="X74" s="186">
        <v>4</v>
      </c>
      <c r="Y74" s="187"/>
      <c r="Z74" s="188"/>
    </row>
    <row r="75" spans="1:26" s="6" customFormat="1" ht="16.5" customHeight="1">
      <c r="A75" s="56" t="s">
        <v>3</v>
      </c>
      <c r="B75" s="9" t="s">
        <v>209</v>
      </c>
      <c r="C75" s="180" t="s">
        <v>210</v>
      </c>
      <c r="D75" s="164"/>
      <c r="E75" s="164"/>
      <c r="F75" s="164"/>
      <c r="G75" s="164"/>
      <c r="H75" s="164"/>
      <c r="I75" s="164"/>
      <c r="J75" s="164"/>
      <c r="K75" s="164"/>
      <c r="L75" s="164"/>
      <c r="M75" s="164"/>
      <c r="N75" s="165"/>
      <c r="O75" s="183" t="s">
        <v>118</v>
      </c>
      <c r="P75" s="184"/>
      <c r="Q75" s="184"/>
      <c r="R75" s="184"/>
      <c r="S75" s="185"/>
      <c r="T75" s="163" t="s">
        <v>151</v>
      </c>
      <c r="U75" s="164"/>
      <c r="V75" s="164"/>
      <c r="W75" s="165"/>
      <c r="X75" s="186">
        <v>1</v>
      </c>
      <c r="Y75" s="187"/>
      <c r="Z75" s="188"/>
    </row>
    <row r="76" spans="1:26" s="6" customFormat="1" ht="16.5" customHeight="1">
      <c r="A76" s="56" t="s">
        <v>3</v>
      </c>
      <c r="B76" s="9" t="s">
        <v>211</v>
      </c>
      <c r="C76" s="180" t="s">
        <v>212</v>
      </c>
      <c r="D76" s="164"/>
      <c r="E76" s="164"/>
      <c r="F76" s="164"/>
      <c r="G76" s="164"/>
      <c r="H76" s="164"/>
      <c r="I76" s="164"/>
      <c r="J76" s="164"/>
      <c r="K76" s="164"/>
      <c r="L76" s="164"/>
      <c r="M76" s="164"/>
      <c r="N76" s="165"/>
      <c r="O76" s="183" t="s">
        <v>118</v>
      </c>
      <c r="P76" s="184"/>
      <c r="Q76" s="184"/>
      <c r="R76" s="184"/>
      <c r="S76" s="185"/>
      <c r="T76" s="163" t="s">
        <v>154</v>
      </c>
      <c r="U76" s="164"/>
      <c r="V76" s="164"/>
      <c r="W76" s="165"/>
      <c r="X76" s="186">
        <v>1</v>
      </c>
      <c r="Y76" s="187"/>
      <c r="Z76" s="188"/>
    </row>
    <row r="77" spans="1:26" s="6" customFormat="1" ht="16.5" customHeight="1">
      <c r="A77" s="56">
        <v>15</v>
      </c>
      <c r="B77" s="56" t="s">
        <v>213</v>
      </c>
      <c r="C77" s="180" t="s">
        <v>214</v>
      </c>
      <c r="D77" s="164"/>
      <c r="E77" s="164"/>
      <c r="F77" s="164"/>
      <c r="G77" s="164"/>
      <c r="H77" s="164"/>
      <c r="I77" s="164"/>
      <c r="J77" s="164"/>
      <c r="K77" s="164"/>
      <c r="L77" s="164"/>
      <c r="M77" s="164"/>
      <c r="N77" s="165"/>
      <c r="O77" s="163" t="s">
        <v>158</v>
      </c>
      <c r="P77" s="164"/>
      <c r="Q77" s="164"/>
      <c r="R77" s="164"/>
      <c r="S77" s="165"/>
      <c r="T77" s="163" t="s">
        <v>159</v>
      </c>
      <c r="U77" s="164"/>
      <c r="V77" s="164"/>
      <c r="W77" s="165"/>
      <c r="X77" s="163">
        <v>1</v>
      </c>
      <c r="Y77" s="164"/>
      <c r="Z77" s="165"/>
    </row>
    <row r="78" spans="1:26" s="6" customFormat="1" ht="16.5" customHeight="1">
      <c r="A78" s="56" t="s">
        <v>3</v>
      </c>
      <c r="B78" s="56" t="s">
        <v>215</v>
      </c>
      <c r="C78" s="180" t="s">
        <v>216</v>
      </c>
      <c r="D78" s="164"/>
      <c r="E78" s="164"/>
      <c r="F78" s="164"/>
      <c r="G78" s="164"/>
      <c r="H78" s="164"/>
      <c r="I78" s="164"/>
      <c r="J78" s="164"/>
      <c r="K78" s="164"/>
      <c r="L78" s="164"/>
      <c r="M78" s="164"/>
      <c r="N78" s="165"/>
      <c r="O78" s="183" t="s">
        <v>0</v>
      </c>
      <c r="P78" s="184"/>
      <c r="Q78" s="184"/>
      <c r="R78" s="184"/>
      <c r="S78" s="185"/>
      <c r="T78" s="163" t="s">
        <v>162</v>
      </c>
      <c r="U78" s="164"/>
      <c r="V78" s="164"/>
      <c r="W78" s="165"/>
      <c r="X78" s="163">
        <v>2</v>
      </c>
      <c r="Y78" s="164"/>
      <c r="Z78" s="165"/>
    </row>
    <row r="79" spans="1:26" s="6" customFormat="1" ht="16.5" customHeight="1">
      <c r="A79" s="56" t="s">
        <v>3</v>
      </c>
      <c r="B79" s="56" t="s">
        <v>217</v>
      </c>
      <c r="C79" s="180" t="s">
        <v>218</v>
      </c>
      <c r="D79" s="164"/>
      <c r="E79" s="164"/>
      <c r="F79" s="164"/>
      <c r="G79" s="164"/>
      <c r="H79" s="164"/>
      <c r="I79" s="164"/>
      <c r="J79" s="164"/>
      <c r="K79" s="164"/>
      <c r="L79" s="164"/>
      <c r="M79" s="164"/>
      <c r="N79" s="165"/>
      <c r="O79" s="183" t="s">
        <v>0</v>
      </c>
      <c r="P79" s="184"/>
      <c r="Q79" s="184"/>
      <c r="R79" s="184"/>
      <c r="S79" s="185"/>
      <c r="T79" s="163" t="s">
        <v>165</v>
      </c>
      <c r="U79" s="164"/>
      <c r="V79" s="164"/>
      <c r="W79" s="165"/>
      <c r="X79" s="163">
        <v>2</v>
      </c>
      <c r="Y79" s="164"/>
      <c r="Z79" s="165"/>
    </row>
    <row r="80" spans="1:26" s="6" customFormat="1" ht="16.5" customHeight="1">
      <c r="A80" s="56" t="s">
        <v>3</v>
      </c>
      <c r="B80" s="56" t="s">
        <v>219</v>
      </c>
      <c r="C80" s="180" t="s">
        <v>220</v>
      </c>
      <c r="D80" s="164"/>
      <c r="E80" s="164"/>
      <c r="F80" s="164"/>
      <c r="G80" s="164"/>
      <c r="H80" s="164"/>
      <c r="I80" s="164"/>
      <c r="J80" s="164"/>
      <c r="K80" s="164"/>
      <c r="L80" s="164"/>
      <c r="M80" s="164"/>
      <c r="N80" s="165"/>
      <c r="O80" s="183" t="s">
        <v>0</v>
      </c>
      <c r="P80" s="184"/>
      <c r="Q80" s="184"/>
      <c r="R80" s="184"/>
      <c r="S80" s="185"/>
      <c r="T80" s="163" t="s">
        <v>168</v>
      </c>
      <c r="U80" s="164"/>
      <c r="V80" s="164"/>
      <c r="W80" s="165"/>
      <c r="X80" s="163">
        <v>2</v>
      </c>
      <c r="Y80" s="164"/>
      <c r="Z80" s="165"/>
    </row>
    <row r="81" spans="1:26" s="6" customFormat="1" ht="16.5" customHeight="1">
      <c r="A81" s="56" t="s">
        <v>3</v>
      </c>
      <c r="B81" s="56" t="s">
        <v>221</v>
      </c>
      <c r="C81" s="180" t="s">
        <v>222</v>
      </c>
      <c r="D81" s="164"/>
      <c r="E81" s="164"/>
      <c r="F81" s="164"/>
      <c r="G81" s="164"/>
      <c r="H81" s="164"/>
      <c r="I81" s="164"/>
      <c r="J81" s="164"/>
      <c r="K81" s="164"/>
      <c r="L81" s="164"/>
      <c r="M81" s="164"/>
      <c r="N81" s="165"/>
      <c r="O81" s="183" t="s">
        <v>0</v>
      </c>
      <c r="P81" s="184"/>
      <c r="Q81" s="184"/>
      <c r="R81" s="184"/>
      <c r="S81" s="185"/>
      <c r="T81" s="163" t="s">
        <v>171</v>
      </c>
      <c r="U81" s="164"/>
      <c r="V81" s="164"/>
      <c r="W81" s="165"/>
      <c r="X81" s="163">
        <v>2</v>
      </c>
      <c r="Y81" s="164"/>
      <c r="Z81" s="165"/>
    </row>
    <row r="82" spans="1:26" s="6" customFormat="1" ht="20.350000000000001" customHeight="1">
      <c r="A82" s="7" t="s">
        <v>3</v>
      </c>
      <c r="C82" s="190"/>
      <c r="D82" s="190"/>
      <c r="E82" s="190"/>
      <c r="F82" s="190"/>
      <c r="G82" s="190"/>
      <c r="H82" s="190"/>
      <c r="I82" s="190"/>
      <c r="J82" s="190"/>
      <c r="K82" s="190"/>
      <c r="L82" s="190"/>
      <c r="M82" s="190"/>
      <c r="N82" s="190"/>
      <c r="O82" s="190"/>
      <c r="P82" s="190"/>
      <c r="Q82" s="190"/>
      <c r="R82" s="190"/>
      <c r="S82" s="190"/>
      <c r="T82" s="190"/>
      <c r="U82" s="190"/>
      <c r="V82" s="190"/>
      <c r="W82" s="190"/>
      <c r="X82" s="190"/>
      <c r="Y82" s="190"/>
      <c r="Z82" s="190"/>
    </row>
    <row r="83" spans="1:26" ht="15.75">
      <c r="A83" s="59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</sheetData>
  <mergeCells count="270">
    <mergeCell ref="A1:V5"/>
    <mergeCell ref="C81:N81"/>
    <mergeCell ref="O81:S81"/>
    <mergeCell ref="T81:W81"/>
    <mergeCell ref="X81:Z81"/>
    <mergeCell ref="C82:N82"/>
    <mergeCell ref="O82:S82"/>
    <mergeCell ref="T82:W82"/>
    <mergeCell ref="X82:Z82"/>
    <mergeCell ref="C79:N79"/>
    <mergeCell ref="O79:S79"/>
    <mergeCell ref="T79:W79"/>
    <mergeCell ref="X79:Z79"/>
    <mergeCell ref="C80:N80"/>
    <mergeCell ref="O80:S80"/>
    <mergeCell ref="T80:W80"/>
    <mergeCell ref="X80:Z80"/>
    <mergeCell ref="C77:N77"/>
    <mergeCell ref="O77:S77"/>
    <mergeCell ref="T77:W77"/>
    <mergeCell ref="X77:Z77"/>
    <mergeCell ref="C78:N78"/>
    <mergeCell ref="O78:S78"/>
    <mergeCell ref="T78:W78"/>
    <mergeCell ref="X78:Z78"/>
    <mergeCell ref="C75:N75"/>
    <mergeCell ref="O75:S75"/>
    <mergeCell ref="T75:W75"/>
    <mergeCell ref="X75:Z75"/>
    <mergeCell ref="C76:N76"/>
    <mergeCell ref="O76:S76"/>
    <mergeCell ref="T76:W76"/>
    <mergeCell ref="X76:Z76"/>
    <mergeCell ref="C73:N73"/>
    <mergeCell ref="O73:S73"/>
    <mergeCell ref="T73:W73"/>
    <mergeCell ref="X73:Z73"/>
    <mergeCell ref="C74:N74"/>
    <mergeCell ref="O74:S74"/>
    <mergeCell ref="T74:W74"/>
    <mergeCell ref="X74:Z74"/>
    <mergeCell ref="C71:N71"/>
    <mergeCell ref="O71:S71"/>
    <mergeCell ref="T71:W71"/>
    <mergeCell ref="X71:Z71"/>
    <mergeCell ref="C72:N72"/>
    <mergeCell ref="O72:S72"/>
    <mergeCell ref="T72:W72"/>
    <mergeCell ref="X72:Z72"/>
    <mergeCell ref="C69:N69"/>
    <mergeCell ref="O69:S69"/>
    <mergeCell ref="T69:W69"/>
    <mergeCell ref="X69:Z69"/>
    <mergeCell ref="C70:N70"/>
    <mergeCell ref="O70:S70"/>
    <mergeCell ref="T70:W70"/>
    <mergeCell ref="X70:Z70"/>
    <mergeCell ref="C67:N67"/>
    <mergeCell ref="O67:S67"/>
    <mergeCell ref="T67:W67"/>
    <mergeCell ref="X67:Z67"/>
    <mergeCell ref="C68:N68"/>
    <mergeCell ref="O68:S68"/>
    <mergeCell ref="T68:W68"/>
    <mergeCell ref="X68:Z68"/>
    <mergeCell ref="C65:N65"/>
    <mergeCell ref="O65:S65"/>
    <mergeCell ref="T65:W65"/>
    <mergeCell ref="X65:Z65"/>
    <mergeCell ref="C66:N66"/>
    <mergeCell ref="O66:S66"/>
    <mergeCell ref="T66:W66"/>
    <mergeCell ref="X66:Z66"/>
    <mergeCell ref="C63:N63"/>
    <mergeCell ref="O63:S63"/>
    <mergeCell ref="T63:W63"/>
    <mergeCell ref="X63:Z63"/>
    <mergeCell ref="C64:N64"/>
    <mergeCell ref="O64:S64"/>
    <mergeCell ref="T64:W64"/>
    <mergeCell ref="X64:Z64"/>
    <mergeCell ref="A61:A62"/>
    <mergeCell ref="C61:N61"/>
    <mergeCell ref="O61:S61"/>
    <mergeCell ref="T61:W61"/>
    <mergeCell ref="X61:Z61"/>
    <mergeCell ref="C62:N62"/>
    <mergeCell ref="O62:S62"/>
    <mergeCell ref="T62:W62"/>
    <mergeCell ref="X62:Z62"/>
    <mergeCell ref="C60:N60"/>
    <mergeCell ref="O60:S60"/>
    <mergeCell ref="T60:W60"/>
    <mergeCell ref="X60:Z60"/>
    <mergeCell ref="C57:N57"/>
    <mergeCell ref="O57:S57"/>
    <mergeCell ref="T57:W57"/>
    <mergeCell ref="X57:Z57"/>
    <mergeCell ref="C58:N58"/>
    <mergeCell ref="O58:S58"/>
    <mergeCell ref="T58:W58"/>
    <mergeCell ref="X58:Z58"/>
    <mergeCell ref="T56:W56"/>
    <mergeCell ref="X56:Z56"/>
    <mergeCell ref="C53:N53"/>
    <mergeCell ref="O53:S53"/>
    <mergeCell ref="T53:W53"/>
    <mergeCell ref="X53:Z53"/>
    <mergeCell ref="C59:N59"/>
    <mergeCell ref="O59:S59"/>
    <mergeCell ref="T59:W59"/>
    <mergeCell ref="X59:Z59"/>
    <mergeCell ref="A50:A53"/>
    <mergeCell ref="C50:N50"/>
    <mergeCell ref="O50:S50"/>
    <mergeCell ref="T50:W50"/>
    <mergeCell ref="X50:Z50"/>
    <mergeCell ref="C51:N51"/>
    <mergeCell ref="O51:S51"/>
    <mergeCell ref="A54:A58"/>
    <mergeCell ref="C54:N54"/>
    <mergeCell ref="O54:S54"/>
    <mergeCell ref="T54:W54"/>
    <mergeCell ref="X54:Z54"/>
    <mergeCell ref="C55:N55"/>
    <mergeCell ref="T51:W51"/>
    <mergeCell ref="X51:Z51"/>
    <mergeCell ref="C52:N52"/>
    <mergeCell ref="O52:S52"/>
    <mergeCell ref="T52:W52"/>
    <mergeCell ref="X52:Z52"/>
    <mergeCell ref="O55:S55"/>
    <mergeCell ref="T55:W55"/>
    <mergeCell ref="X55:Z55"/>
    <mergeCell ref="C56:N56"/>
    <mergeCell ref="O56:S56"/>
    <mergeCell ref="A48:A49"/>
    <mergeCell ref="C48:N48"/>
    <mergeCell ref="O48:S48"/>
    <mergeCell ref="T48:W48"/>
    <mergeCell ref="X48:Z48"/>
    <mergeCell ref="C49:N49"/>
    <mergeCell ref="O49:S49"/>
    <mergeCell ref="T49:W49"/>
    <mergeCell ref="X49:Z49"/>
    <mergeCell ref="O45:S45"/>
    <mergeCell ref="T45:W45"/>
    <mergeCell ref="X45:Z45"/>
    <mergeCell ref="C46:N46"/>
    <mergeCell ref="O46:S46"/>
    <mergeCell ref="T46:W46"/>
    <mergeCell ref="X46:Z46"/>
    <mergeCell ref="A43:A47"/>
    <mergeCell ref="C43:N43"/>
    <mergeCell ref="O43:S43"/>
    <mergeCell ref="T43:W43"/>
    <mergeCell ref="X43:Z43"/>
    <mergeCell ref="C44:N44"/>
    <mergeCell ref="O44:S44"/>
    <mergeCell ref="T44:W44"/>
    <mergeCell ref="X44:Z44"/>
    <mergeCell ref="C45:N45"/>
    <mergeCell ref="C47:N47"/>
    <mergeCell ref="O47:S47"/>
    <mergeCell ref="T47:W47"/>
    <mergeCell ref="X47:Z47"/>
    <mergeCell ref="L40:M40"/>
    <mergeCell ref="L41:M41"/>
    <mergeCell ref="C42:N42"/>
    <mergeCell ref="O42:S42"/>
    <mergeCell ref="T42:W42"/>
    <mergeCell ref="X42:Z42"/>
    <mergeCell ref="A36:B36"/>
    <mergeCell ref="C36:J36"/>
    <mergeCell ref="L36:M36"/>
    <mergeCell ref="L37:M37"/>
    <mergeCell ref="L38:M38"/>
    <mergeCell ref="L39:M39"/>
    <mergeCell ref="A34:B34"/>
    <mergeCell ref="C34:F34"/>
    <mergeCell ref="G34:J34"/>
    <mergeCell ref="L34:M34"/>
    <mergeCell ref="A35:B35"/>
    <mergeCell ref="C35:F35"/>
    <mergeCell ref="G35:J35"/>
    <mergeCell ref="L35:M35"/>
    <mergeCell ref="A32:B32"/>
    <mergeCell ref="C32:F32"/>
    <mergeCell ref="G32:J32"/>
    <mergeCell ref="L32:M32"/>
    <mergeCell ref="A33:B33"/>
    <mergeCell ref="C33:F33"/>
    <mergeCell ref="G33:J33"/>
    <mergeCell ref="L33:M33"/>
    <mergeCell ref="A30:B30"/>
    <mergeCell ref="C30:F30"/>
    <mergeCell ref="G30:J30"/>
    <mergeCell ref="L30:M30"/>
    <mergeCell ref="A31:B31"/>
    <mergeCell ref="C31:F31"/>
    <mergeCell ref="G31:J31"/>
    <mergeCell ref="L31:M31"/>
    <mergeCell ref="A28:B28"/>
    <mergeCell ref="C28:F28"/>
    <mergeCell ref="G28:J28"/>
    <mergeCell ref="L28:M28"/>
    <mergeCell ref="A29:B29"/>
    <mergeCell ref="C29:F29"/>
    <mergeCell ref="G29:J29"/>
    <mergeCell ref="L29:M29"/>
    <mergeCell ref="C25:H25"/>
    <mergeCell ref="I25:N25"/>
    <mergeCell ref="O25:T25"/>
    <mergeCell ref="U25:Z25"/>
    <mergeCell ref="C26:F26"/>
    <mergeCell ref="A27:J27"/>
    <mergeCell ref="C23:H23"/>
    <mergeCell ref="I23:N23"/>
    <mergeCell ref="O23:T23"/>
    <mergeCell ref="U23:Z23"/>
    <mergeCell ref="C24:H24"/>
    <mergeCell ref="I24:N24"/>
    <mergeCell ref="O24:T24"/>
    <mergeCell ref="U24:Z24"/>
    <mergeCell ref="C22:H22"/>
    <mergeCell ref="I22:N22"/>
    <mergeCell ref="O22:T22"/>
    <mergeCell ref="U22:Z22"/>
    <mergeCell ref="I19:N19"/>
    <mergeCell ref="O19:T19"/>
    <mergeCell ref="U19:Z19"/>
    <mergeCell ref="C20:H20"/>
    <mergeCell ref="I20:N20"/>
    <mergeCell ref="O20:T20"/>
    <mergeCell ref="U20:Z20"/>
    <mergeCell ref="A17:A21"/>
    <mergeCell ref="C17:H17"/>
    <mergeCell ref="I17:N17"/>
    <mergeCell ref="O17:T17"/>
    <mergeCell ref="U17:Z17"/>
    <mergeCell ref="C18:H18"/>
    <mergeCell ref="I18:N18"/>
    <mergeCell ref="O18:T18"/>
    <mergeCell ref="U18:Z18"/>
    <mergeCell ref="C19:H19"/>
    <mergeCell ref="C21:H21"/>
    <mergeCell ref="I21:N21"/>
    <mergeCell ref="O21:T21"/>
    <mergeCell ref="U21:Z21"/>
    <mergeCell ref="O14:T15"/>
    <mergeCell ref="U14:Z15"/>
    <mergeCell ref="C16:H16"/>
    <mergeCell ref="I16:N16"/>
    <mergeCell ref="O16:T16"/>
    <mergeCell ref="U16:Z16"/>
    <mergeCell ref="G11:J11"/>
    <mergeCell ref="G12:J12"/>
    <mergeCell ref="A14:A15"/>
    <mergeCell ref="B14:B15"/>
    <mergeCell ref="C14:H15"/>
    <mergeCell ref="I14:N15"/>
    <mergeCell ref="A6:Z6"/>
    <mergeCell ref="A7:B7"/>
    <mergeCell ref="G8:J8"/>
    <mergeCell ref="A9:B9"/>
    <mergeCell ref="G9:J9"/>
    <mergeCell ref="S9:V10"/>
    <mergeCell ref="D10:F10"/>
    <mergeCell ref="G10:J10"/>
    <mergeCell ref="G7:M7"/>
  </mergeCells>
  <pageMargins left="0.45" right="0.7" top="0.75" bottom="0.75" header="0.3" footer="0.3"/>
  <pageSetup scale="70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1384C-7B54-426F-A487-A2224A81C451}">
  <sheetPr>
    <pageSetUpPr fitToPage="1"/>
  </sheetPr>
  <dimension ref="A1:Z28"/>
  <sheetViews>
    <sheetView workbookViewId="0">
      <selection activeCell="G8" sqref="G8:J8"/>
    </sheetView>
  </sheetViews>
  <sheetFormatPr defaultRowHeight="14.25"/>
  <cols>
    <col min="1" max="1" width="10.796875" customWidth="1"/>
    <col min="2" max="2" width="56.33203125" customWidth="1"/>
    <col min="3" max="18" width="3.9296875" customWidth="1"/>
    <col min="19" max="20" width="4.3984375" customWidth="1"/>
    <col min="21" max="26" width="4.9296875" customWidth="1"/>
  </cols>
  <sheetData>
    <row r="1" spans="1:26" ht="15" customHeight="1">
      <c r="A1" s="189" t="s">
        <v>72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47"/>
      <c r="X1" s="47"/>
      <c r="Y1" s="47"/>
      <c r="Z1" s="47"/>
    </row>
    <row r="2" spans="1:26" ht="15" customHeight="1">
      <c r="A2" s="189"/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47"/>
      <c r="X2" s="47"/>
      <c r="Y2" s="47"/>
      <c r="Z2" s="47"/>
    </row>
    <row r="3" spans="1:26" ht="15" customHeight="1">
      <c r="A3" s="189"/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47"/>
      <c r="X3" s="47"/>
      <c r="Y3" s="47"/>
      <c r="Z3" s="47"/>
    </row>
    <row r="4" spans="1:26" ht="15" customHeight="1">
      <c r="A4" s="189"/>
      <c r="B4" s="189"/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89"/>
      <c r="R4" s="189"/>
      <c r="S4" s="189"/>
      <c r="T4" s="189"/>
      <c r="U4" s="189"/>
      <c r="V4" s="189"/>
      <c r="W4" s="47"/>
      <c r="X4" s="47"/>
      <c r="Y4" s="47"/>
      <c r="Z4" s="47"/>
    </row>
    <row r="5" spans="1:26" ht="15" customHeight="1">
      <c r="A5" s="189"/>
      <c r="B5" s="189"/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  <c r="Q5" s="189"/>
      <c r="R5" s="189"/>
      <c r="S5" s="189"/>
      <c r="T5" s="189"/>
      <c r="U5" s="189"/>
      <c r="V5" s="189"/>
      <c r="W5" s="47"/>
      <c r="X5" s="47"/>
      <c r="Y5" s="47"/>
      <c r="Z5" s="47"/>
    </row>
    <row r="6" spans="1:26" ht="29.65">
      <c r="A6" s="121" t="s">
        <v>73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</row>
    <row r="7" spans="1:26" s="6" customFormat="1" ht="17.25">
      <c r="A7" s="122" t="s">
        <v>73</v>
      </c>
      <c r="B7" s="122"/>
      <c r="C7" s="40" t="s">
        <v>74</v>
      </c>
      <c r="E7" s="14"/>
      <c r="F7" s="14"/>
      <c r="G7" s="126" t="str">
        <f>'ใบงาน Agilent_JOB 5'!F7</f>
        <v>xxxx</v>
      </c>
      <c r="H7" s="126"/>
      <c r="I7" s="126"/>
      <c r="J7" s="126"/>
      <c r="K7" s="126"/>
      <c r="L7" s="14"/>
      <c r="M7" s="14"/>
      <c r="N7" s="14"/>
      <c r="O7" s="14"/>
      <c r="P7" s="14"/>
      <c r="Q7" s="14"/>
      <c r="R7" s="14"/>
      <c r="S7" s="48" t="s">
        <v>50</v>
      </c>
      <c r="W7" s="197" t="str">
        <f>'ใบงาน Agilent_JOB 5'!M7</f>
        <v>xxx</v>
      </c>
      <c r="X7" s="197"/>
      <c r="Y7" s="197"/>
      <c r="Z7" s="196"/>
    </row>
    <row r="8" spans="1:26" s="6" customFormat="1" ht="19.899999999999999" customHeight="1">
      <c r="A8" s="62" t="s">
        <v>75</v>
      </c>
      <c r="B8" s="63" t="str">
        <f>'ใบงาน Agilent_JOB 5'!F8</f>
        <v>K9801-60091</v>
      </c>
      <c r="C8" s="63" t="s">
        <v>76</v>
      </c>
      <c r="D8" s="63"/>
      <c r="E8" s="63"/>
      <c r="F8" s="63"/>
      <c r="G8" s="123" t="str">
        <f>'ใบงาน Agilent_JOB 5'!F9</f>
        <v>-</v>
      </c>
      <c r="H8" s="123"/>
      <c r="I8" s="123"/>
      <c r="J8" s="123"/>
      <c r="K8" s="39"/>
      <c r="L8" s="39"/>
      <c r="M8" s="39"/>
      <c r="N8" s="39"/>
      <c r="O8" s="39"/>
      <c r="P8" s="39"/>
      <c r="Q8" s="39"/>
      <c r="R8" s="39"/>
      <c r="S8" s="39" t="s">
        <v>225</v>
      </c>
      <c r="T8" s="39"/>
      <c r="X8" s="6" t="str">
        <f>'ใบงาน Agilent_JOB 5'!M9</f>
        <v>PO12345</v>
      </c>
    </row>
    <row r="9" spans="1:26" s="6" customFormat="1" ht="13.5">
      <c r="A9" s="124" t="s">
        <v>3</v>
      </c>
      <c r="B9" s="124"/>
      <c r="C9" s="65"/>
      <c r="D9" s="65"/>
      <c r="E9" s="65"/>
      <c r="F9" s="65"/>
      <c r="G9" s="123" t="s">
        <v>3</v>
      </c>
      <c r="H9" s="123"/>
      <c r="I9" s="123"/>
      <c r="J9" s="123"/>
      <c r="L9" s="14"/>
      <c r="M9" s="14"/>
      <c r="N9" s="14"/>
      <c r="O9" s="14"/>
      <c r="P9" s="14"/>
      <c r="Q9" s="14"/>
      <c r="R9" s="14"/>
      <c r="S9" s="97" t="s">
        <v>65</v>
      </c>
      <c r="T9" s="97"/>
      <c r="U9" s="97"/>
      <c r="V9" s="97"/>
    </row>
    <row r="10" spans="1:26" s="6" customFormat="1" ht="13.5">
      <c r="A10" s="63" t="s">
        <v>77</v>
      </c>
      <c r="B10" s="49">
        <f>'ใบงาน Agilent_JOB 5'!M8/50</f>
        <v>40</v>
      </c>
      <c r="C10" s="49"/>
      <c r="D10" s="125" t="s">
        <v>3</v>
      </c>
      <c r="E10" s="125"/>
      <c r="F10" s="125"/>
      <c r="G10" s="125" t="s">
        <v>3</v>
      </c>
      <c r="H10" s="125"/>
      <c r="I10" s="125"/>
      <c r="J10" s="125"/>
      <c r="K10" s="40"/>
      <c r="L10" s="14"/>
      <c r="M10" s="14"/>
      <c r="N10" s="14"/>
      <c r="O10" s="14"/>
      <c r="P10" s="14"/>
      <c r="Q10" s="14"/>
      <c r="R10" s="14"/>
      <c r="S10" s="97"/>
      <c r="T10" s="97"/>
      <c r="U10" s="97"/>
      <c r="V10" s="97"/>
    </row>
    <row r="11" spans="1:26" s="6" customFormat="1" ht="13.5">
      <c r="A11" s="65"/>
      <c r="B11" s="125"/>
      <c r="C11" s="49"/>
      <c r="D11" s="49"/>
      <c r="E11" s="49"/>
      <c r="F11" s="49"/>
      <c r="G11" s="125" t="s">
        <v>3</v>
      </c>
      <c r="H11" s="125"/>
      <c r="I11" s="125"/>
      <c r="J11" s="125"/>
      <c r="K11" s="14"/>
      <c r="L11" s="14"/>
      <c r="M11" s="14"/>
      <c r="N11" s="14"/>
      <c r="O11" s="14"/>
      <c r="P11" s="14"/>
      <c r="Q11" s="14"/>
      <c r="R11" s="14"/>
      <c r="S11" s="14"/>
      <c r="T11" s="14"/>
    </row>
    <row r="12" spans="1:26" s="6" customFormat="1" ht="13.5">
      <c r="A12" s="49" t="s">
        <v>78</v>
      </c>
      <c r="B12" s="125"/>
      <c r="C12" s="49"/>
      <c r="D12" s="49"/>
      <c r="E12" s="49"/>
      <c r="F12" s="49"/>
      <c r="G12" s="125" t="s">
        <v>3</v>
      </c>
      <c r="H12" s="125"/>
      <c r="I12" s="125"/>
      <c r="J12" s="125"/>
      <c r="K12" s="14"/>
      <c r="L12" s="14"/>
      <c r="M12" s="14"/>
      <c r="N12" s="14"/>
      <c r="O12" s="14"/>
      <c r="P12" s="14"/>
      <c r="Q12" s="14"/>
      <c r="R12" s="14"/>
      <c r="S12" s="14"/>
      <c r="T12" s="14"/>
    </row>
    <row r="13" spans="1:26" s="6" customFormat="1" ht="13.5">
      <c r="A13" s="49"/>
      <c r="B13" s="191"/>
      <c r="C13" s="49"/>
      <c r="D13" s="49"/>
      <c r="E13" s="49"/>
      <c r="F13" s="49"/>
      <c r="G13" s="64"/>
      <c r="H13" s="49"/>
      <c r="I13" s="49"/>
      <c r="J13" s="49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 spans="1:26" s="6" customFormat="1" ht="13.5">
      <c r="A14" s="77" t="s">
        <v>15</v>
      </c>
      <c r="B14" s="77" t="s">
        <v>79</v>
      </c>
      <c r="C14" s="127" t="s">
        <v>80</v>
      </c>
      <c r="D14" s="128"/>
      <c r="E14" s="128"/>
      <c r="F14" s="128"/>
      <c r="G14" s="128"/>
      <c r="H14" s="129"/>
      <c r="I14" s="127" t="s">
        <v>21</v>
      </c>
      <c r="J14" s="128"/>
      <c r="K14" s="128"/>
      <c r="L14" s="128"/>
      <c r="M14" s="128"/>
      <c r="N14" s="129"/>
      <c r="O14" s="127" t="s">
        <v>22</v>
      </c>
      <c r="P14" s="128"/>
      <c r="Q14" s="128"/>
      <c r="R14" s="128"/>
      <c r="S14" s="128"/>
      <c r="T14" s="129"/>
      <c r="U14" s="195" t="s">
        <v>81</v>
      </c>
      <c r="V14" s="136"/>
      <c r="W14" s="136"/>
      <c r="X14" s="136"/>
      <c r="Y14" s="136"/>
      <c r="Z14" s="137"/>
    </row>
    <row r="15" spans="1:26" s="6" customFormat="1" ht="13.5">
      <c r="A15" s="79"/>
      <c r="B15" s="79"/>
      <c r="C15" s="130"/>
      <c r="D15" s="131"/>
      <c r="E15" s="131"/>
      <c r="F15" s="131"/>
      <c r="G15" s="131"/>
      <c r="H15" s="132"/>
      <c r="I15" s="130"/>
      <c r="J15" s="131"/>
      <c r="K15" s="131"/>
      <c r="L15" s="131"/>
      <c r="M15" s="131"/>
      <c r="N15" s="132"/>
      <c r="O15" s="130"/>
      <c r="P15" s="131"/>
      <c r="Q15" s="131"/>
      <c r="R15" s="131"/>
      <c r="S15" s="131"/>
      <c r="T15" s="132"/>
      <c r="U15" s="138"/>
      <c r="V15" s="139"/>
      <c r="W15" s="139"/>
      <c r="X15" s="139"/>
      <c r="Y15" s="139"/>
      <c r="Z15" s="140"/>
    </row>
    <row r="16" spans="1:26" s="51" customFormat="1" ht="17.25">
      <c r="A16" s="141">
        <v>1</v>
      </c>
      <c r="B16" s="50" t="s">
        <v>82</v>
      </c>
      <c r="C16" s="192"/>
      <c r="D16" s="193"/>
      <c r="E16" s="193"/>
      <c r="F16" s="193"/>
      <c r="G16" s="193"/>
      <c r="H16" s="194"/>
      <c r="I16" s="192"/>
      <c r="J16" s="193"/>
      <c r="K16" s="193"/>
      <c r="L16" s="193"/>
      <c r="M16" s="193"/>
      <c r="N16" s="194"/>
      <c r="O16" s="192"/>
      <c r="P16" s="193"/>
      <c r="Q16" s="193"/>
      <c r="R16" s="193"/>
      <c r="S16" s="193"/>
      <c r="T16" s="194"/>
      <c r="U16" s="192"/>
      <c r="V16" s="193"/>
      <c r="W16" s="193"/>
      <c r="X16" s="193"/>
      <c r="Y16" s="193"/>
      <c r="Z16" s="194"/>
    </row>
    <row r="17" spans="1:26" s="51" customFormat="1" ht="17.25">
      <c r="A17" s="142"/>
      <c r="B17" s="50" t="s">
        <v>83</v>
      </c>
      <c r="C17" s="192"/>
      <c r="D17" s="193"/>
      <c r="E17" s="193"/>
      <c r="F17" s="193"/>
      <c r="G17" s="193"/>
      <c r="H17" s="194"/>
      <c r="I17" s="192"/>
      <c r="J17" s="193"/>
      <c r="K17" s="193"/>
      <c r="L17" s="193"/>
      <c r="M17" s="193"/>
      <c r="N17" s="194"/>
      <c r="O17" s="192"/>
      <c r="P17" s="193"/>
      <c r="Q17" s="193"/>
      <c r="R17" s="193"/>
      <c r="S17" s="193"/>
      <c r="T17" s="194"/>
      <c r="U17" s="192"/>
      <c r="V17" s="193"/>
      <c r="W17" s="193"/>
      <c r="X17" s="193"/>
      <c r="Y17" s="193"/>
      <c r="Z17" s="194"/>
    </row>
    <row r="18" spans="1:26" s="51" customFormat="1" ht="17.25">
      <c r="A18" s="142"/>
      <c r="B18" s="50" t="s">
        <v>84</v>
      </c>
      <c r="C18" s="192"/>
      <c r="D18" s="193"/>
      <c r="E18" s="193"/>
      <c r="F18" s="193"/>
      <c r="G18" s="193"/>
      <c r="H18" s="194"/>
      <c r="I18" s="192"/>
      <c r="J18" s="193"/>
      <c r="K18" s="193"/>
      <c r="L18" s="193"/>
      <c r="M18" s="193"/>
      <c r="N18" s="194"/>
      <c r="O18" s="192"/>
      <c r="P18" s="193"/>
      <c r="Q18" s="193"/>
      <c r="R18" s="193"/>
      <c r="S18" s="193"/>
      <c r="T18" s="194"/>
      <c r="U18" s="192"/>
      <c r="V18" s="193"/>
      <c r="W18" s="193"/>
      <c r="X18" s="193"/>
      <c r="Y18" s="193"/>
      <c r="Z18" s="194"/>
    </row>
    <row r="19" spans="1:26" s="51" customFormat="1" ht="17.25">
      <c r="A19" s="142"/>
      <c r="B19" s="50" t="s">
        <v>85</v>
      </c>
      <c r="C19" s="192"/>
      <c r="D19" s="193"/>
      <c r="E19" s="193"/>
      <c r="F19" s="193"/>
      <c r="G19" s="193"/>
      <c r="H19" s="194"/>
      <c r="I19" s="192"/>
      <c r="J19" s="193"/>
      <c r="K19" s="193"/>
      <c r="L19" s="193"/>
      <c r="M19" s="193"/>
      <c r="N19" s="194"/>
      <c r="O19" s="192"/>
      <c r="P19" s="193"/>
      <c r="Q19" s="193"/>
      <c r="R19" s="193"/>
      <c r="S19" s="193"/>
      <c r="T19" s="194"/>
      <c r="U19" s="192"/>
      <c r="V19" s="193"/>
      <c r="W19" s="193"/>
      <c r="X19" s="193"/>
      <c r="Y19" s="193"/>
      <c r="Z19" s="194"/>
    </row>
    <row r="20" spans="1:26" s="51" customFormat="1" ht="17.25">
      <c r="A20" s="143"/>
      <c r="B20" s="50" t="s">
        <v>86</v>
      </c>
      <c r="C20" s="192"/>
      <c r="D20" s="193"/>
      <c r="E20" s="193"/>
      <c r="F20" s="193"/>
      <c r="G20" s="193"/>
      <c r="H20" s="194"/>
      <c r="I20" s="192"/>
      <c r="J20" s="193"/>
      <c r="K20" s="193"/>
      <c r="L20" s="193"/>
      <c r="M20" s="193"/>
      <c r="N20" s="194"/>
      <c r="O20" s="192"/>
      <c r="P20" s="193"/>
      <c r="Q20" s="193"/>
      <c r="R20" s="193"/>
      <c r="S20" s="193"/>
      <c r="T20" s="194"/>
      <c r="U20" s="192"/>
      <c r="V20" s="193"/>
      <c r="W20" s="193"/>
      <c r="X20" s="193"/>
      <c r="Y20" s="193"/>
      <c r="Z20" s="194"/>
    </row>
    <row r="21" spans="1:26" s="51" customFormat="1" ht="17.25">
      <c r="A21" s="52">
        <v>2</v>
      </c>
      <c r="B21" s="53" t="s">
        <v>87</v>
      </c>
      <c r="C21" s="192"/>
      <c r="D21" s="193"/>
      <c r="E21" s="193"/>
      <c r="F21" s="193"/>
      <c r="G21" s="193"/>
      <c r="H21" s="194"/>
      <c r="I21" s="192"/>
      <c r="J21" s="193"/>
      <c r="K21" s="193"/>
      <c r="L21" s="193"/>
      <c r="M21" s="193"/>
      <c r="N21" s="194"/>
      <c r="O21" s="192"/>
      <c r="P21" s="193"/>
      <c r="Q21" s="193"/>
      <c r="R21" s="193"/>
      <c r="S21" s="193"/>
      <c r="T21" s="194"/>
      <c r="U21" s="192"/>
      <c r="V21" s="193"/>
      <c r="W21" s="193"/>
      <c r="X21" s="193"/>
      <c r="Y21" s="193"/>
      <c r="Z21" s="194"/>
    </row>
    <row r="22" spans="1:26" s="51" customFormat="1" ht="17.25">
      <c r="A22" s="52">
        <v>3</v>
      </c>
      <c r="B22" s="53" t="s">
        <v>88</v>
      </c>
      <c r="C22" s="192"/>
      <c r="D22" s="193"/>
      <c r="E22" s="193"/>
      <c r="F22" s="193"/>
      <c r="G22" s="193"/>
      <c r="H22" s="194"/>
      <c r="I22" s="192"/>
      <c r="J22" s="193"/>
      <c r="K22" s="193"/>
      <c r="L22" s="193"/>
      <c r="M22" s="193"/>
      <c r="N22" s="194"/>
      <c r="O22" s="192"/>
      <c r="P22" s="193"/>
      <c r="Q22" s="193"/>
      <c r="R22" s="193"/>
      <c r="S22" s="193"/>
      <c r="T22" s="194"/>
      <c r="U22" s="192"/>
      <c r="V22" s="193"/>
      <c r="W22" s="193"/>
      <c r="X22" s="193"/>
      <c r="Y22" s="193"/>
      <c r="Z22" s="194"/>
    </row>
    <row r="23" spans="1:26" s="51" customFormat="1" ht="17.25">
      <c r="A23" s="52">
        <v>4</v>
      </c>
      <c r="B23" s="53" t="s">
        <v>89</v>
      </c>
      <c r="C23" s="192"/>
      <c r="D23" s="193"/>
      <c r="E23" s="193"/>
      <c r="F23" s="193"/>
      <c r="G23" s="193"/>
      <c r="H23" s="194"/>
      <c r="I23" s="192"/>
      <c r="J23" s="193"/>
      <c r="K23" s="193"/>
      <c r="L23" s="193"/>
      <c r="M23" s="193"/>
      <c r="N23" s="194"/>
      <c r="O23" s="192"/>
      <c r="P23" s="193"/>
      <c r="Q23" s="193"/>
      <c r="R23" s="193"/>
      <c r="S23" s="193"/>
      <c r="T23" s="194"/>
      <c r="U23" s="192"/>
      <c r="V23" s="193"/>
      <c r="W23" s="193"/>
      <c r="X23" s="193"/>
      <c r="Y23" s="193"/>
      <c r="Z23" s="194"/>
    </row>
    <row r="24" spans="1:26" s="6" customFormat="1" ht="13.5">
      <c r="A24" s="7"/>
      <c r="C24" s="190"/>
      <c r="D24" s="190"/>
      <c r="E24" s="190"/>
      <c r="F24" s="190"/>
    </row>
    <row r="25" spans="1:26" s="55" customFormat="1" ht="15">
      <c r="A25" s="54"/>
      <c r="L25" s="149"/>
      <c r="M25" s="149"/>
    </row>
    <row r="26" spans="1:26" s="6" customFormat="1" ht="13.5">
      <c r="A26" s="7"/>
      <c r="L26" s="144"/>
      <c r="M26" s="144"/>
    </row>
    <row r="27" spans="1:26" s="6" customFormat="1" ht="13.5">
      <c r="A27" s="7"/>
      <c r="L27" s="144"/>
      <c r="M27" s="144"/>
    </row>
    <row r="28" spans="1:26" s="6" customFormat="1" ht="13.5">
      <c r="A28" s="7"/>
      <c r="L28" s="144"/>
      <c r="M28" s="144"/>
    </row>
  </sheetData>
  <mergeCells count="58">
    <mergeCell ref="L26:M26"/>
    <mergeCell ref="L27:M27"/>
    <mergeCell ref="L28:M28"/>
    <mergeCell ref="W7:Y7"/>
    <mergeCell ref="U19:Z19"/>
    <mergeCell ref="O14:T15"/>
    <mergeCell ref="U14:Z15"/>
    <mergeCell ref="C24:F24"/>
    <mergeCell ref="L25:M25"/>
    <mergeCell ref="C23:H23"/>
    <mergeCell ref="I23:N23"/>
    <mergeCell ref="O23:T23"/>
    <mergeCell ref="U23:Z23"/>
    <mergeCell ref="C20:H20"/>
    <mergeCell ref="I20:N20"/>
    <mergeCell ref="O20:T20"/>
    <mergeCell ref="U20:Z20"/>
    <mergeCell ref="C21:H21"/>
    <mergeCell ref="I21:N21"/>
    <mergeCell ref="O21:T21"/>
    <mergeCell ref="U21:Z21"/>
    <mergeCell ref="C22:H22"/>
    <mergeCell ref="I22:N22"/>
    <mergeCell ref="O22:T22"/>
    <mergeCell ref="U22:Z22"/>
    <mergeCell ref="A16:A20"/>
    <mergeCell ref="C16:H16"/>
    <mergeCell ref="I16:N16"/>
    <mergeCell ref="O16:T16"/>
    <mergeCell ref="U16:Z16"/>
    <mergeCell ref="C17:H17"/>
    <mergeCell ref="I17:N17"/>
    <mergeCell ref="O17:T17"/>
    <mergeCell ref="U17:Z17"/>
    <mergeCell ref="C18:H18"/>
    <mergeCell ref="I18:N18"/>
    <mergeCell ref="O18:T18"/>
    <mergeCell ref="U18:Z18"/>
    <mergeCell ref="C19:H19"/>
    <mergeCell ref="I19:N19"/>
    <mergeCell ref="O19:T19"/>
    <mergeCell ref="B11:B13"/>
    <mergeCell ref="G11:J11"/>
    <mergeCell ref="G12:J12"/>
    <mergeCell ref="A14:A15"/>
    <mergeCell ref="B14:B15"/>
    <mergeCell ref="C14:H15"/>
    <mergeCell ref="I14:N15"/>
    <mergeCell ref="A1:V5"/>
    <mergeCell ref="A6:Z6"/>
    <mergeCell ref="A7:B7"/>
    <mergeCell ref="G8:J8"/>
    <mergeCell ref="A9:B9"/>
    <mergeCell ref="G9:J9"/>
    <mergeCell ref="S9:V10"/>
    <mergeCell ref="D10:F10"/>
    <mergeCell ref="G10:J10"/>
    <mergeCell ref="G7:K7"/>
  </mergeCells>
  <pageMargins left="0.45" right="0.7" top="0.75" bottom="0.75" header="0.3" footer="0.3"/>
  <pageSetup scale="74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ใบงาน Agilent_JOB 5</vt:lpstr>
      <vt:lpstr>A2-QCถุง</vt:lpstr>
      <vt:lpstr>P2-QCกล่อง</vt:lpstr>
      <vt:lpstr>'ใบงาน Agilent_JOB 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Yada</dc:creator>
  <cp:lastModifiedBy>Yada Sirimanuwat</cp:lastModifiedBy>
  <cp:lastPrinted>2026-08-03T02:41:41Z</cp:lastPrinted>
  <dcterms:created xsi:type="dcterms:W3CDTF">2022-12-02T03:16:26Z</dcterms:created>
  <dcterms:modified xsi:type="dcterms:W3CDTF">2026-08-03T05:16:03Z</dcterms:modified>
</cp:coreProperties>
</file>