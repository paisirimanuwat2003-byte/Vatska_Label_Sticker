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Agilent/A1 ใบสั่งงาน/ใบสั่งงานฉบับแก้ไข/ฟอร์มใบสั่งงาน/"/>
    </mc:Choice>
  </mc:AlternateContent>
  <xr:revisionPtr revIDLastSave="180" documentId="13_ncr:1_{60FD1ABF-5E96-4903-8FA4-3BCEBD8AFA93}" xr6:coauthVersionLast="47" xr6:coauthVersionMax="47" xr10:uidLastSave="{C68025F8-21D8-4BB2-94E9-0B9A60C72CCA}"/>
  <bookViews>
    <workbookView xWindow="-98" yWindow="-98" windowWidth="21795" windowHeight="12975" tabRatio="958" activeTab="5" xr2:uid="{4F180DBB-2D27-44A5-BB20-72766F3B0AE8}"/>
  </bookViews>
  <sheets>
    <sheet name="ใบงาน Agilent_JOB 4.1" sheetId="28" r:id="rId1"/>
    <sheet name="ใบงาน Agilent_JOB 4.2" sheetId="29" r:id="rId2"/>
    <sheet name="ใบงาน Agilent_JOB 4.3" sheetId="30" r:id="rId3"/>
    <sheet name="ใบงาน Agilent_JOB 4.4" sheetId="31" r:id="rId4"/>
    <sheet name="ใบงาน Agilent_JOB 4.5" sheetId="32" r:id="rId5"/>
    <sheet name="A2-QC ถุง" sheetId="34" r:id="rId6"/>
    <sheet name="P2--QCกล่อง" sheetId="33" r:id="rId7"/>
  </sheets>
  <definedNames>
    <definedName name="_xlnm.Print_Area" localSheetId="0">'ใบงาน Agilent_JOB 4.1'!$A$1:$O$37</definedName>
    <definedName name="_xlnm.Print_Area" localSheetId="1">'ใบงาน Agilent_JOB 4.2'!$A$1:$O$37</definedName>
    <definedName name="_xlnm.Print_Area" localSheetId="2">'ใบงาน Agilent_JOB 4.3'!$A$1:$O$37</definedName>
    <definedName name="_xlnm.Print_Area" localSheetId="3">'ใบงาน Agilent_JOB 4.4'!$A$1:$O$37</definedName>
    <definedName name="_xlnm.Print_Area" localSheetId="4">'ใบงาน Agilent_JOB 4.5'!$A$1:$O$37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4" l="1"/>
  <c r="B8" i="33"/>
  <c r="G7" i="33"/>
  <c r="G7" i="34"/>
  <c r="W7" i="33"/>
  <c r="X7" i="34"/>
  <c r="N7" i="32"/>
  <c r="N7" i="31"/>
  <c r="N7" i="30"/>
  <c r="N7" i="29"/>
  <c r="B10" i="34"/>
  <c r="G12" i="34"/>
  <c r="G11" i="34"/>
  <c r="G10" i="34"/>
  <c r="G9" i="34"/>
  <c r="G8" i="34"/>
  <c r="W8" i="33"/>
  <c r="F7" i="32"/>
  <c r="F7" i="31"/>
  <c r="F7" i="30"/>
  <c r="F7" i="29"/>
  <c r="N9" i="32"/>
  <c r="N9" i="31"/>
  <c r="N9" i="30"/>
  <c r="N9" i="29"/>
  <c r="N8" i="29"/>
  <c r="D22" i="29" s="1"/>
  <c r="B9" i="33"/>
  <c r="G12" i="33"/>
  <c r="G11" i="33"/>
  <c r="G10" i="33"/>
  <c r="G9" i="33"/>
  <c r="G8" i="33"/>
  <c r="D22" i="28"/>
  <c r="D21" i="28"/>
  <c r="D22" i="30"/>
  <c r="D21" i="30"/>
  <c r="D22" i="31"/>
  <c r="D21" i="31"/>
  <c r="D22" i="32"/>
  <c r="D21" i="32"/>
  <c r="D21" i="29" l="1"/>
  <c r="F30" i="32"/>
  <c r="E30" i="32"/>
  <c r="E17" i="32"/>
  <c r="G17" i="32" s="1"/>
  <c r="H17" i="32" s="1"/>
  <c r="F30" i="31"/>
  <c r="E30" i="31"/>
  <c r="E17" i="31"/>
  <c r="G17" i="31" s="1"/>
  <c r="H17" i="31" s="1"/>
  <c r="F30" i="30"/>
  <c r="E30" i="30"/>
  <c r="E17" i="30"/>
  <c r="G17" i="30" s="1"/>
  <c r="H17" i="30" s="1"/>
  <c r="F30" i="29"/>
  <c r="E30" i="29"/>
  <c r="E17" i="29"/>
  <c r="G17" i="29" s="1"/>
  <c r="F30" i="28"/>
  <c r="E30" i="28"/>
  <c r="E17" i="28"/>
  <c r="G17" i="28" l="1"/>
  <c r="H17" i="28" s="1"/>
  <c r="H17" i="29"/>
</calcChain>
</file>

<file path=xl/sharedStrings.xml><?xml version="1.0" encoding="utf-8"?>
<sst xmlns="http://schemas.openxmlformats.org/spreadsheetml/2006/main" count="767" uniqueCount="247">
  <si>
    <t>ABW00012</t>
  </si>
  <si>
    <t>ABW00018</t>
  </si>
  <si>
    <t>+5.00</t>
  </si>
  <si>
    <t xml:space="preserve"> </t>
  </si>
  <si>
    <t>วันที่</t>
  </si>
  <si>
    <t>ลูกค้า</t>
  </si>
  <si>
    <t>แผนก</t>
  </si>
  <si>
    <t>สายยาง</t>
  </si>
  <si>
    <t xml:space="preserve">ถุงพลาสติค S </t>
  </si>
  <si>
    <t>ถุงพลาสติค M</t>
  </si>
  <si>
    <t>4x 6 นิ้ว</t>
  </si>
  <si>
    <t>6x9 นิ้ว</t>
  </si>
  <si>
    <t>S</t>
  </si>
  <si>
    <t>M</t>
  </si>
  <si>
    <t>สติกเกอร์</t>
  </si>
  <si>
    <t>5 x 8 ซม</t>
  </si>
  <si>
    <t>จำนวนชุดที่ต้องการ</t>
  </si>
  <si>
    <t>จำนวน/ ชุด</t>
  </si>
  <si>
    <t>จำนวนที่เบิกทั้งหมด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</si>
  <si>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</si>
  <si>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</si>
  <si>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</si>
  <si>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</si>
  <si>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</si>
  <si>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</si>
  <si>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</si>
  <si>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</si>
  <si>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</si>
  <si>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</si>
  <si>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</si>
  <si>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</si>
  <si>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</si>
  <si>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</si>
  <si>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</si>
  <si>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</si>
  <si>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</si>
  <si>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</si>
  <si>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</si>
  <si>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</si>
  <si>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>ความยาวสายยางที่สามารถยอมรับได้</t>
  </si>
  <si>
    <t xml:space="preserve">ใบงานตัดสายยางและ บรรจุ  </t>
  </si>
  <si>
    <t>อาจิแลนจ์ (Agilent)</t>
  </si>
  <si>
    <t>ผลิต (Production)</t>
  </si>
  <si>
    <t xml:space="preserve">                 พนักงานตรวจสอบ </t>
  </si>
  <si>
    <t>กล่องพลาสติคใส่สายยางพร้อมฝาปิดกันฝุ่น</t>
  </si>
  <si>
    <t>5 ถุงย่อย</t>
  </si>
  <si>
    <t>L</t>
  </si>
  <si>
    <t>1 เส้น</t>
  </si>
  <si>
    <t>2 เส้น</t>
  </si>
  <si>
    <t>P-95802-13</t>
  </si>
  <si>
    <t>K9801-60102</t>
  </si>
  <si>
    <t>Tubing Assembly, Waste Manifold</t>
  </si>
  <si>
    <t>K9801-60086</t>
  </si>
  <si>
    <t>P-06411-03</t>
  </si>
  <si>
    <t>K9801-60087</t>
  </si>
  <si>
    <t>K9801-60088</t>
  </si>
  <si>
    <t>K9801-60089</t>
  </si>
  <si>
    <t>K9801-60090</t>
  </si>
  <si>
    <t>ABW00012/K9801-60086</t>
  </si>
  <si>
    <t>ABW00018/K9801-60087</t>
  </si>
  <si>
    <t>ABW00018/K9801-60088</t>
  </si>
  <si>
    <t>ABW00018/K9801-60089</t>
  </si>
  <si>
    <t>ABW00018/K9801-60090</t>
  </si>
  <si>
    <t>1 กล่อง</t>
  </si>
  <si>
    <t>OD/ID: 5/16"(7.9375mm) 3/16"(4.7625mm)</t>
  </si>
  <si>
    <t>OD/ID: 7/16"(11.1125mm) 1/4"(6.3500mm)</t>
  </si>
  <si>
    <t>ขนาด 60 เซนติเมตร</t>
  </si>
  <si>
    <t>JOB 4.1</t>
  </si>
  <si>
    <t>JOB 4.2</t>
  </si>
  <si>
    <t>JOB 4.3</t>
  </si>
  <si>
    <t>JOB 4.4</t>
  </si>
  <si>
    <t>JOB 4.5</t>
  </si>
  <si>
    <t>584.2-589.2</t>
  </si>
  <si>
    <t>381-386</t>
  </si>
  <si>
    <t>330.2-335.2</t>
  </si>
  <si>
    <t>228.6-233.6</t>
  </si>
  <si>
    <t>203.2-208.2</t>
  </si>
  <si>
    <t xml:space="preserve"> 1 กล่อง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</si>
  <si>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</si>
  <si>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</si>
  <si>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</si>
  <si>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</si>
  <si>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</si>
  <si>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วัสดุที่เบิกใช้ในการบรรจุและการตรวจสอบคุณภาพก่อนบรรจุ  / QC in process</t>
  </si>
  <si>
    <t>ลายเซ็นต์</t>
  </si>
  <si>
    <t>การตรวจสอบคุณภาพก่อนบรรจุ  / QC in process</t>
  </si>
  <si>
    <t>ถุงพลาสติก packing</t>
  </si>
  <si>
    <t>1 อัน</t>
  </si>
  <si>
    <t>จำนวนสายยางที่ตัดได้(เส้น)</t>
  </si>
  <si>
    <t xml:space="preserve">ตารางเบิกสายยาง </t>
  </si>
  <si>
    <t>จำนวนที่ตรวจสอบความยาวของสายยาง (MM)</t>
  </si>
  <si>
    <t xml:space="preserve">วันที่ </t>
  </si>
  <si>
    <t>จำนวน/ม้วน</t>
  </si>
  <si>
    <t>Lot number ของสายยาง</t>
  </si>
  <si>
    <t>ในกรณีใช้สายยางไม่เต็มม้วน จะต้องนำไปใช้งานต่อสำหรับ JOB อื่นๆ</t>
  </si>
  <si>
    <t>AGA</t>
  </si>
  <si>
    <t>MPN:</t>
  </si>
  <si>
    <t>Children PN:</t>
  </si>
  <si>
    <t>K9801-60092</t>
  </si>
  <si>
    <t>Customer PO</t>
  </si>
  <si>
    <t>QR CODE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</si>
  <si>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</si>
  <si>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>เอกสารตรวจสอบผลิตภัณฑ์ QC (Quality Control) สำหรับบรรจุ</t>
  </si>
  <si>
    <t>Lot no</t>
  </si>
  <si>
    <t>MPN</t>
  </si>
  <si>
    <t>Children no.</t>
  </si>
  <si>
    <t>Copy to sticker</t>
  </si>
  <si>
    <t>จำนวนกล่อง</t>
  </si>
  <si>
    <t>BAR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</si>
  <si>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</si>
  <si>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</si>
  <si>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</si>
  <si>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</si>
  <si>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</si>
  <si>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</si>
  <si>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</si>
  <si>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</si>
  <si>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</si>
  <si>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ความสะอาดความสายยางภายในกล่อง</t>
  </si>
  <si>
    <t>เมื่อ scan QR code ข้อมูลถูกต้อง</t>
  </si>
  <si>
    <t xml:space="preserve">เอกสารตรวจสอบผลิตภัณฑ์ QC (Quality Control) </t>
  </si>
  <si>
    <t>จำนวนถุงที่ผลิต</t>
  </si>
  <si>
    <t>ความถูกต้องของความยาวของสายยางว่าอยู่ภายในระยะที่กำหนด (ตามรายละเอียดแนบ)</t>
  </si>
  <si>
    <t>ฤฉ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</si>
  <si>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</si>
  <si>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</si>
  <si>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</si>
  <si>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</si>
  <si>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</si>
  <si>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</si>
  <si>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</si>
  <si>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</si>
  <si>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</si>
  <si>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</si>
  <si>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</si>
  <si>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</si>
  <si>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</si>
  <si>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</si>
  <si>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</si>
  <si>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</si>
  <si>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</si>
  <si>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</si>
  <si>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</si>
  <si>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</si>
  <si>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</si>
  <si>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</si>
  <si>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</si>
  <si>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</si>
  <si>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</si>
  <si>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</si>
  <si>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</si>
  <si>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</si>
  <si>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</si>
  <si>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</si>
  <si>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</si>
  <si>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</si>
  <si>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</si>
  <si>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</si>
  <si>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</si>
  <si>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</si>
  <si>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</si>
  <si>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</si>
  <si>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</si>
  <si>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</si>
  <si>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</si>
  <si>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</si>
  <si>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</si>
  <si>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</si>
  <si>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</si>
  <si>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</si>
  <si>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</si>
  <si>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</si>
  <si>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</si>
  <si>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</si>
  <si>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</si>
  <si>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</si>
  <si>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</si>
  <si>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</si>
  <si>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</si>
  <si>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</si>
  <si>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</si>
  <si>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</si>
  <si>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</si>
  <si>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</si>
  <si>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</si>
  <si>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</si>
  <si>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</si>
  <si>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</si>
  <si>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</si>
  <si>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job 4.2</t>
  </si>
  <si>
    <t>381 -386</t>
  </si>
  <si>
    <t>job 4.3</t>
  </si>
  <si>
    <t>330.2 -335.2</t>
  </si>
  <si>
    <t>job 4.4</t>
  </si>
  <si>
    <t>228.6 -233.6</t>
  </si>
  <si>
    <t>job 4.5</t>
  </si>
  <si>
    <t>203.2 -208.2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</si>
  <si>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</si>
  <si>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</si>
  <si>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</si>
  <si>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</si>
  <si>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</si>
  <si>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</si>
  <si>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</si>
  <si>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</si>
  <si>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</si>
  <si>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</si>
  <si>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</si>
  <si>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</si>
  <si>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</si>
  <si>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</si>
  <si>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</si>
  <si>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</si>
  <si>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</si>
  <si>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</si>
  <si>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</si>
  <si>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</si>
  <si>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</si>
  <si>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</si>
  <si>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</si>
  <si>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</si>
  <si>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</si>
  <si>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</si>
  <si>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</si>
  <si>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</si>
  <si>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</si>
  <si>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</si>
  <si>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</si>
  <si>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</si>
  <si>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</si>
  <si>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</si>
  <si>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</si>
  <si>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</si>
  <si>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</si>
  <si>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</si>
  <si>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</si>
  <si>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</si>
  <si>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</si>
  <si>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</si>
  <si>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</si>
  <si>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job 15.2</t>
  </si>
  <si>
    <t>job 15.3</t>
  </si>
  <si>
    <t>job 15.4</t>
  </si>
  <si>
    <t>job 15.5</t>
  </si>
  <si>
    <t>PO12345</t>
  </si>
  <si>
    <t>CUSTOMER PO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</si>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</sst>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164" fontId="8" fillId="2" borderId="1" xfId="3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2" borderId="1" xfId="0" quotePrefix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2" xfId="0" quotePrefix="1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vertical="center"/>
    </xf>
    <xf numFmtId="0" fontId="8" fillId="0" borderId="7" xfId="0" applyFont="1" applyBorder="1"/>
    <xf numFmtId="0" fontId="8" fillId="6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13" fillId="4" borderId="7" xfId="0" applyFont="1" applyFill="1" applyBorder="1"/>
    <xf numFmtId="0" fontId="13" fillId="4" borderId="7" xfId="0" applyFont="1" applyFill="1" applyBorder="1" applyAlignment="1">
      <alignment horizontal="center"/>
    </xf>
    <xf numFmtId="0" fontId="8" fillId="4" borderId="7" xfId="0" applyFont="1" applyFill="1" applyBorder="1"/>
    <xf numFmtId="0" fontId="8" fillId="4" borderId="0" xfId="0" applyFont="1" applyFill="1" applyAlignment="1">
      <alignment horizontal="center"/>
    </xf>
    <xf numFmtId="0" fontId="16" fillId="0" borderId="0" xfId="0" applyFont="1"/>
    <xf numFmtId="0" fontId="20" fillId="0" borderId="0" xfId="0" applyFont="1" applyAlignment="1">
      <alignment horizontal="left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5" fillId="0" borderId="0" xfId="0" applyFont="1"/>
    <xf numFmtId="0" fontId="0" fillId="0" borderId="0" xfId="0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21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top"/>
    </xf>
    <xf numFmtId="0" fontId="15" fillId="2" borderId="0" xfId="0" applyFont="1" applyFill="1"/>
    <xf numFmtId="0" fontId="8" fillId="4" borderId="0" xfId="0" applyFont="1" applyFill="1"/>
    <xf numFmtId="165" fontId="8" fillId="4" borderId="0" xfId="3" applyNumberFormat="1" applyFont="1" applyFill="1" applyAlignment="1">
      <alignment horizontal="center" vertical="center"/>
    </xf>
    <xf numFmtId="0" fontId="13" fillId="2" borderId="7" xfId="0" applyFont="1" applyFill="1" applyBorder="1"/>
    <xf numFmtId="0" fontId="8" fillId="2" borderId="7" xfId="0" applyFont="1" applyFill="1" applyBorder="1"/>
    <xf numFmtId="0" fontId="8" fillId="2" borderId="0" xfId="0" applyFont="1" applyFill="1"/>
    <xf numFmtId="165" fontId="8" fillId="2" borderId="0" xfId="3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21" fillId="7" borderId="0" xfId="0" applyFont="1" applyFill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7" xfId="0" applyFont="1" applyFill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8" fillId="2" borderId="12" xfId="0" quotePrefix="1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8" fillId="2" borderId="14" xfId="0" quotePrefix="1" applyFont="1" applyFill="1" applyBorder="1" applyAlignment="1">
      <alignment horizontal="center"/>
    </xf>
    <xf numFmtId="0" fontId="8" fillId="2" borderId="13" xfId="0" quotePrefix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top" wrapText="1"/>
    </xf>
    <xf numFmtId="0" fontId="9" fillId="2" borderId="15" xfId="0" applyFont="1" applyFill="1" applyBorder="1" applyAlignment="1">
      <alignment horizontal="center" vertical="top"/>
    </xf>
    <xf numFmtId="0" fontId="9" fillId="2" borderId="8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0" borderId="12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14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</cellXfs>
  <cellStyles count="5">
    <cellStyle name="Comma" xfId="3" builtinId="3"/>
    <cellStyle name="Comma 2" xfId="2" xr:uid="{B96F9A27-C494-40C5-BEFB-F01D0E97589E}"/>
    <cellStyle name="Comma 3" xfId="4" xr:uid="{AA70FD91-D59D-4FF2-9909-A9D9CA54F514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7175B5-AF24-4959-8DEA-B46908AB5144}"/>
            </a:ext>
          </a:extLst>
        </xdr:cNvPr>
        <xdr:cNvSpPr txBox="1"/>
      </xdr:nvSpPr>
      <xdr:spPr>
        <a:xfrm>
          <a:off x="107632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BB1DAB-94B1-4FAA-A043-B57404BD6DD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3B126B-0CA6-4DC9-B47B-0DFF9967965F}"/>
            </a:ext>
          </a:extLst>
        </xdr:cNvPr>
        <xdr:cNvSpPr txBox="1"/>
      </xdr:nvSpPr>
      <xdr:spPr>
        <a:xfrm>
          <a:off x="1047750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EC5D90-B774-467F-8510-BBF4137B956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94BD95-1147-4066-9DE9-2AECD11478B1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812615-F311-4401-A6E3-5DE03505D4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98AE6-496A-43B2-9B8F-464FE5976834}"/>
            </a:ext>
          </a:extLst>
        </xdr:cNvPr>
        <xdr:cNvSpPr txBox="1"/>
      </xdr:nvSpPr>
      <xdr:spPr>
        <a:xfrm>
          <a:off x="10410825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3DC384-4D2D-4783-9738-4575E27CE1A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892E7E6-BC6D-4597-B1B3-BB9A8E181F9F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130DDE-4ACD-4FF9-9479-AFB6CDD9879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4</xdr:row>
      <xdr:rowOff>176211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2835E6-5088-47C4-A2DC-5762977762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19136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9A8E2C-571E-45E8-8E5E-193FBEDCB89F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435C7-72BF-4EF9-8EB6-486CF637B4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DBEDC6-8795-4736-B1DD-6AAD3599F3A2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CD7E-9F7C-45E3-8F36-D2E456F525CE}">
  <dimension ref="A1:O66"/>
  <sheetViews>
    <sheetView zoomScaleNormal="100" workbookViewId="0">
      <selection activeCell="F8" sqref="F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1.2656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384" width="8.73046875" style="1"/>
  </cols>
  <sheetData>
    <row r="1" spans="1:15" ht="23.25" customHeight="1">
      <c r="A1" s="119" t="s">
        <v>80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11.6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5" ht="11.6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5" ht="11.65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5" ht="11.65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22.5">
      <c r="A6" s="4" t="s">
        <v>40</v>
      </c>
      <c r="N6" s="5"/>
      <c r="O6" s="5" t="s">
        <v>67</v>
      </c>
    </row>
    <row r="7" spans="1:15" s="8" customFormat="1" ht="21" customHeight="1">
      <c r="A7" s="9" t="s">
        <v>4</v>
      </c>
      <c r="B7" s="61"/>
      <c r="C7" s="48"/>
      <c r="D7" s="9" t="s">
        <v>81</v>
      </c>
      <c r="E7" s="9"/>
      <c r="F7" s="62" t="s">
        <v>246</v>
      </c>
      <c r="G7" s="62"/>
      <c r="J7" s="9"/>
      <c r="K7" s="8" t="s">
        <v>82</v>
      </c>
      <c r="L7" s="48" t="s">
        <v>95</v>
      </c>
      <c r="M7" s="63"/>
      <c r="N7" s="61">
        <v>20260803</v>
      </c>
      <c r="O7" s="9"/>
    </row>
    <row r="8" spans="1:15" s="8" customFormat="1" ht="21" customHeight="1">
      <c r="A8" s="9" t="s">
        <v>6</v>
      </c>
      <c r="B8" s="8" t="s">
        <v>42</v>
      </c>
      <c r="D8" s="9" t="s">
        <v>96</v>
      </c>
      <c r="E8" s="9"/>
      <c r="F8" s="82" t="s">
        <v>50</v>
      </c>
      <c r="J8" s="9"/>
      <c r="K8" s="8" t="s">
        <v>16</v>
      </c>
      <c r="M8" s="84"/>
      <c r="N8" s="85">
        <v>2000</v>
      </c>
      <c r="O8" s="9"/>
    </row>
    <row r="9" spans="1:15" s="8" customFormat="1" ht="21" customHeight="1">
      <c r="A9" s="9" t="s">
        <v>5</v>
      </c>
      <c r="B9" s="8" t="s">
        <v>41</v>
      </c>
      <c r="D9" s="8" t="s">
        <v>97</v>
      </c>
      <c r="E9" s="9"/>
      <c r="F9" s="83" t="s">
        <v>52</v>
      </c>
      <c r="J9" s="9"/>
      <c r="K9" s="9" t="s">
        <v>99</v>
      </c>
      <c r="M9" s="64"/>
      <c r="N9" s="64" t="s">
        <v>244</v>
      </c>
      <c r="O9" s="9"/>
    </row>
    <row r="10" spans="1:15" s="17" customFormat="1" ht="21" customHeight="1">
      <c r="A10" s="18"/>
      <c r="D10" s="18"/>
      <c r="E10" s="18"/>
      <c r="F10" s="18"/>
      <c r="J10" s="18"/>
      <c r="K10" s="18"/>
      <c r="N10" s="18"/>
      <c r="O10" s="18"/>
    </row>
    <row r="11" spans="1:15" s="17" customFormat="1" ht="21" customHeight="1">
      <c r="A11" s="18"/>
      <c r="B11" s="50" t="s">
        <v>0</v>
      </c>
      <c r="C11" s="50" t="s">
        <v>64</v>
      </c>
      <c r="D11" s="51"/>
      <c r="E11" s="18"/>
      <c r="F11" s="18"/>
      <c r="G11" s="17" t="s">
        <v>3</v>
      </c>
      <c r="J11" s="18"/>
      <c r="K11" s="9"/>
    </row>
    <row r="12" spans="1:15" s="8" customFormat="1" ht="21" customHeight="1">
      <c r="A12" s="9"/>
      <c r="B12" s="8" t="s">
        <v>100</v>
      </c>
      <c r="C12" t="s">
        <v>3</v>
      </c>
      <c r="D12" s="9"/>
      <c r="E12" s="9"/>
      <c r="F12" s="9"/>
      <c r="J12" s="9"/>
      <c r="K12" s="9"/>
      <c r="L12" s="18"/>
      <c r="M12" s="18"/>
      <c r="N12" s="18"/>
      <c r="O12" s="18"/>
    </row>
    <row r="13" spans="1:15" s="17" customFormat="1" ht="21" customHeight="1">
      <c r="A13" s="19" t="s">
        <v>34</v>
      </c>
      <c r="D13" s="18"/>
      <c r="E13" s="18"/>
      <c r="F13" s="18"/>
      <c r="J13" s="18"/>
      <c r="K13" s="9"/>
      <c r="L13" s="8"/>
      <c r="N13" s="18"/>
      <c r="O13" s="18"/>
    </row>
    <row r="14" spans="1:15" s="17" customFormat="1" ht="21" customHeight="1">
      <c r="A14" s="18"/>
      <c r="D14" s="18"/>
      <c r="E14" s="18"/>
      <c r="F14" s="18"/>
      <c r="J14" s="18"/>
      <c r="K14" s="9"/>
      <c r="L14" s="8"/>
      <c r="N14" s="18"/>
      <c r="O14" s="18"/>
    </row>
    <row r="15" spans="1:15" s="17" customFormat="1" ht="21" customHeight="1">
      <c r="A15" s="121" t="s">
        <v>21</v>
      </c>
      <c r="B15" s="123" t="s">
        <v>20</v>
      </c>
      <c r="C15" s="121" t="s">
        <v>19</v>
      </c>
      <c r="D15" s="121" t="s">
        <v>17</v>
      </c>
      <c r="E15" s="125" t="s">
        <v>37</v>
      </c>
      <c r="F15" s="127" t="s">
        <v>38</v>
      </c>
      <c r="G15" s="129" t="s">
        <v>37</v>
      </c>
      <c r="H15" s="147" t="s">
        <v>36</v>
      </c>
      <c r="I15" s="39"/>
      <c r="J15" s="40"/>
      <c r="K15" s="120"/>
    </row>
    <row r="16" spans="1:15" s="17" customFormat="1" ht="21" customHeight="1">
      <c r="A16" s="121"/>
      <c r="B16" s="124"/>
      <c r="C16" s="121"/>
      <c r="D16" s="121"/>
      <c r="E16" s="126"/>
      <c r="F16" s="128"/>
      <c r="G16" s="146"/>
      <c r="H16" s="148"/>
      <c r="I16" s="39"/>
      <c r="J16" s="40"/>
      <c r="K16" s="120"/>
    </row>
    <row r="17" spans="1:15" s="17" customFormat="1" ht="21" customHeight="1">
      <c r="A17" s="21">
        <v>1</v>
      </c>
      <c r="B17" s="52" t="s">
        <v>7</v>
      </c>
      <c r="C17" s="53" t="s">
        <v>0</v>
      </c>
      <c r="D17" s="49">
        <v>1</v>
      </c>
      <c r="E17" s="23">
        <f>D17*N8*(I44+J44)</f>
        <v>1178400</v>
      </c>
      <c r="F17" s="10">
        <v>50</v>
      </c>
      <c r="G17" s="47">
        <f>E17</f>
        <v>1178400</v>
      </c>
      <c r="H17" s="47">
        <f>G17*0.00328/F17</f>
        <v>77.303039999999996</v>
      </c>
      <c r="K17" s="95" t="s">
        <v>106</v>
      </c>
      <c r="L17" s="8"/>
    </row>
    <row r="18" spans="1:15" s="17" customFormat="1" ht="21" customHeight="1">
      <c r="A18" s="12">
        <v>2</v>
      </c>
      <c r="B18" s="24" t="s">
        <v>35</v>
      </c>
      <c r="C18" s="24"/>
      <c r="D18" s="12"/>
      <c r="E18" s="12"/>
      <c r="F18" s="12"/>
      <c r="G18" s="24"/>
      <c r="H18" s="24"/>
      <c r="J18" s="18"/>
      <c r="K18" s="95"/>
      <c r="L18" s="8"/>
      <c r="N18" s="18"/>
      <c r="O18" s="18"/>
    </row>
    <row r="19" spans="1:15" s="17" customFormat="1" ht="21" customHeight="1">
      <c r="A19" s="12">
        <v>3</v>
      </c>
      <c r="B19" s="24" t="s">
        <v>44</v>
      </c>
      <c r="C19" s="24"/>
      <c r="D19" s="12" t="s">
        <v>63</v>
      </c>
      <c r="E19" s="12"/>
      <c r="F19" s="12"/>
      <c r="G19" s="24"/>
      <c r="H19" s="24"/>
      <c r="J19" s="18"/>
      <c r="K19" s="55"/>
      <c r="L19" s="8"/>
      <c r="N19" s="18"/>
      <c r="O19" s="18"/>
    </row>
    <row r="20" spans="1:15" s="17" customFormat="1" ht="21" customHeight="1">
      <c r="A20" s="12">
        <v>4</v>
      </c>
      <c r="B20" s="24" t="s">
        <v>78</v>
      </c>
      <c r="C20" s="24"/>
      <c r="D20" s="12" t="s">
        <v>79</v>
      </c>
      <c r="E20" s="12"/>
      <c r="F20" s="12"/>
      <c r="G20" s="24"/>
      <c r="H20" s="24"/>
      <c r="J20" s="18"/>
      <c r="K20" s="55"/>
      <c r="L20" s="8"/>
      <c r="N20" s="18"/>
      <c r="O20" s="18"/>
    </row>
    <row r="21" spans="1:15" s="17" customFormat="1" ht="21" customHeight="1">
      <c r="A21" s="12">
        <v>5</v>
      </c>
      <c r="B21" s="54" t="s">
        <v>8</v>
      </c>
      <c r="C21" s="49" t="s">
        <v>10</v>
      </c>
      <c r="D21" s="12">
        <f>N8</f>
        <v>2000</v>
      </c>
      <c r="E21" s="12"/>
      <c r="F21" s="12"/>
      <c r="G21" s="24"/>
      <c r="H21" s="24"/>
      <c r="J21" s="18"/>
      <c r="K21" s="55"/>
      <c r="L21" s="8"/>
      <c r="N21" s="18"/>
      <c r="O21" s="18"/>
    </row>
    <row r="22" spans="1:15" s="17" customFormat="1" ht="21" customHeight="1">
      <c r="A22" s="12">
        <v>6</v>
      </c>
      <c r="B22" s="24" t="s">
        <v>14</v>
      </c>
      <c r="C22" s="12" t="s">
        <v>15</v>
      </c>
      <c r="D22" s="12">
        <f>N8</f>
        <v>2000</v>
      </c>
      <c r="E22" s="12"/>
      <c r="F22" s="12"/>
      <c r="G22" s="24"/>
      <c r="H22" s="24"/>
      <c r="J22" s="18"/>
      <c r="K22" s="55"/>
      <c r="L22" s="8"/>
      <c r="N22" s="18"/>
      <c r="O22" s="18"/>
    </row>
    <row r="23" spans="1:15" s="17" customFormat="1" ht="21" customHeight="1">
      <c r="A23" s="12">
        <v>7</v>
      </c>
      <c r="B23" s="24" t="s">
        <v>31</v>
      </c>
      <c r="C23" s="12" t="s">
        <v>66</v>
      </c>
      <c r="D23" s="12" t="s">
        <v>87</v>
      </c>
      <c r="E23" s="12"/>
      <c r="F23" s="12"/>
      <c r="G23" s="24"/>
      <c r="H23" s="24"/>
      <c r="J23" s="18"/>
      <c r="K23" s="55"/>
      <c r="L23" s="8"/>
      <c r="N23" s="18"/>
      <c r="O23" s="18"/>
    </row>
    <row r="24" spans="1:15" s="17" customFormat="1" ht="21" customHeight="1">
      <c r="A24" s="12">
        <v>8</v>
      </c>
      <c r="B24" s="24" t="s">
        <v>86</v>
      </c>
      <c r="C24" s="24"/>
      <c r="D24" s="12"/>
      <c r="E24" s="12"/>
      <c r="F24" s="12"/>
      <c r="G24" s="24"/>
      <c r="H24" s="24"/>
      <c r="J24" s="18"/>
      <c r="K24" s="55"/>
      <c r="L24" s="56"/>
      <c r="M24" s="57"/>
    </row>
    <row r="25" spans="1:15" s="17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7" customFormat="1" ht="21" customHeight="1">
      <c r="A26" s="3" t="s">
        <v>85</v>
      </c>
      <c r="D26" s="18"/>
      <c r="E26" s="18"/>
      <c r="F26" s="18"/>
      <c r="I26" s="50" t="s">
        <v>94</v>
      </c>
      <c r="J26" s="51"/>
      <c r="K26" s="50"/>
      <c r="L26" s="50"/>
      <c r="M26" s="51"/>
      <c r="N26" s="50"/>
    </row>
    <row r="27" spans="1:15" s="17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17" customFormat="1" ht="21" customHeight="1">
      <c r="A28" s="121" t="s">
        <v>21</v>
      </c>
      <c r="B28" s="121" t="s">
        <v>20</v>
      </c>
      <c r="C28" s="121" t="s">
        <v>19</v>
      </c>
      <c r="D28" s="121" t="s">
        <v>17</v>
      </c>
      <c r="E28" s="122" t="s">
        <v>18</v>
      </c>
      <c r="F28" s="122" t="s">
        <v>88</v>
      </c>
      <c r="G28" s="129" t="s">
        <v>89</v>
      </c>
      <c r="H28" s="129"/>
      <c r="I28" s="129"/>
      <c r="J28" s="162"/>
      <c r="K28" s="129" t="s">
        <v>90</v>
      </c>
      <c r="L28" s="129"/>
      <c r="M28" s="129"/>
      <c r="N28" s="129" t="s">
        <v>84</v>
      </c>
      <c r="O28" s="8"/>
    </row>
    <row r="29" spans="1:15" s="17" customFormat="1" ht="21" customHeight="1">
      <c r="A29" s="121"/>
      <c r="B29" s="121"/>
      <c r="C29" s="121"/>
      <c r="D29" s="121"/>
      <c r="E29" s="122"/>
      <c r="F29" s="122"/>
      <c r="G29" s="7" t="s">
        <v>91</v>
      </c>
      <c r="H29" s="7" t="s">
        <v>92</v>
      </c>
      <c r="I29" s="7" t="s">
        <v>93</v>
      </c>
      <c r="J29" s="58" t="s">
        <v>84</v>
      </c>
      <c r="K29" s="6" t="s">
        <v>30</v>
      </c>
      <c r="L29" s="7" t="s">
        <v>27</v>
      </c>
      <c r="M29" s="7" t="s">
        <v>28</v>
      </c>
      <c r="N29" s="129"/>
      <c r="O29" s="8"/>
    </row>
    <row r="30" spans="1:15" s="17" customFormat="1" ht="21" customHeight="1">
      <c r="A30" s="130">
        <v>4.0999999999999996</v>
      </c>
      <c r="B30" s="150" t="s">
        <v>51</v>
      </c>
      <c r="C30" s="153" t="s">
        <v>58</v>
      </c>
      <c r="D30" s="156">
        <v>1</v>
      </c>
      <c r="E30" s="25">
        <f>N8*D30</f>
        <v>2000</v>
      </c>
      <c r="F30" s="159">
        <f>N8*D30</f>
        <v>2000</v>
      </c>
      <c r="G30" s="59"/>
      <c r="H30" s="59"/>
      <c r="I30" s="59"/>
      <c r="J30" s="60"/>
      <c r="K30" s="149" t="s">
        <v>72</v>
      </c>
      <c r="L30" s="10"/>
      <c r="M30" s="24"/>
      <c r="N30" s="24"/>
      <c r="O30" s="8"/>
    </row>
    <row r="31" spans="1:15" s="17" customFormat="1" ht="21" customHeight="1">
      <c r="A31" s="131"/>
      <c r="B31" s="151"/>
      <c r="C31" s="154"/>
      <c r="D31" s="157"/>
      <c r="E31" s="25"/>
      <c r="F31" s="160"/>
      <c r="G31" s="59"/>
      <c r="H31" s="59"/>
      <c r="I31" s="59"/>
      <c r="J31" s="60"/>
      <c r="K31" s="149"/>
      <c r="L31" s="12"/>
      <c r="M31" s="24"/>
      <c r="N31" s="24"/>
      <c r="O31" s="8"/>
    </row>
    <row r="32" spans="1:15" s="17" customFormat="1" ht="21" customHeight="1">
      <c r="A32" s="131"/>
      <c r="B32" s="151"/>
      <c r="C32" s="154"/>
      <c r="D32" s="157"/>
      <c r="E32" s="25"/>
      <c r="F32" s="160"/>
      <c r="G32" s="59"/>
      <c r="H32" s="59"/>
      <c r="I32" s="59"/>
      <c r="J32" s="60"/>
      <c r="K32" s="149"/>
      <c r="L32" s="24"/>
      <c r="M32" s="24"/>
      <c r="N32" s="24"/>
      <c r="O32" s="8"/>
    </row>
    <row r="33" spans="1:15" s="17" customFormat="1" ht="21" customHeight="1">
      <c r="A33" s="131"/>
      <c r="B33" s="151"/>
      <c r="C33" s="154"/>
      <c r="D33" s="157"/>
      <c r="E33" s="25"/>
      <c r="F33" s="160"/>
      <c r="G33" s="59"/>
      <c r="H33" s="59"/>
      <c r="I33" s="59"/>
      <c r="J33" s="60"/>
      <c r="K33" s="149"/>
      <c r="L33" s="24"/>
      <c r="M33" s="24"/>
      <c r="N33" s="24"/>
      <c r="O33" s="8"/>
    </row>
    <row r="34" spans="1:15" s="17" customFormat="1" ht="21" customHeight="1">
      <c r="A34" s="131"/>
      <c r="B34" s="151"/>
      <c r="C34" s="154"/>
      <c r="D34" s="157"/>
      <c r="E34" s="25"/>
      <c r="F34" s="160"/>
      <c r="G34" s="59"/>
      <c r="H34" s="59"/>
      <c r="I34" s="59"/>
      <c r="J34" s="60"/>
      <c r="K34" s="149"/>
      <c r="L34" s="24"/>
      <c r="M34" s="24"/>
      <c r="N34" s="24"/>
      <c r="O34" s="8"/>
    </row>
    <row r="35" spans="1:15" s="17" customFormat="1" ht="21" customHeight="1">
      <c r="A35" s="131"/>
      <c r="B35" s="151"/>
      <c r="C35" s="154"/>
      <c r="D35" s="157"/>
      <c r="E35" s="25"/>
      <c r="F35" s="160"/>
      <c r="G35" s="59"/>
      <c r="H35" s="59"/>
      <c r="I35" s="59"/>
      <c r="J35" s="60"/>
      <c r="K35" s="149"/>
      <c r="L35" s="24"/>
      <c r="M35" s="24"/>
      <c r="N35" s="24"/>
      <c r="O35" s="8"/>
    </row>
    <row r="36" spans="1:15" s="17" customFormat="1" ht="21" customHeight="1">
      <c r="A36" s="131"/>
      <c r="B36" s="151"/>
      <c r="C36" s="154"/>
      <c r="D36" s="157"/>
      <c r="E36" s="25"/>
      <c r="F36" s="160"/>
      <c r="G36" s="59"/>
      <c r="H36" s="59"/>
      <c r="I36" s="59"/>
      <c r="J36" s="60"/>
      <c r="K36" s="149"/>
      <c r="L36" s="24"/>
      <c r="M36" s="24"/>
      <c r="N36" s="24"/>
      <c r="O36" s="8"/>
    </row>
    <row r="37" spans="1:15" s="17" customFormat="1" ht="21" customHeight="1">
      <c r="A37" s="132"/>
      <c r="B37" s="152"/>
      <c r="C37" s="155"/>
      <c r="D37" s="158"/>
      <c r="E37" s="25"/>
      <c r="F37" s="161"/>
      <c r="G37" s="59"/>
      <c r="H37" s="59"/>
      <c r="I37" s="59"/>
      <c r="J37" s="60"/>
      <c r="K37" s="149"/>
      <c r="L37" s="24"/>
      <c r="M37" s="24"/>
      <c r="N37" s="24"/>
      <c r="O37" s="8"/>
    </row>
    <row r="38" spans="1:15" s="17" customFormat="1" ht="21" customHeight="1">
      <c r="A38" s="18"/>
      <c r="C38" s="18"/>
      <c r="D38" s="18"/>
      <c r="E38" s="18"/>
      <c r="F38" s="26"/>
      <c r="I38" s="18"/>
      <c r="J38" s="18"/>
      <c r="M38" s="18"/>
      <c r="N38" s="18"/>
    </row>
    <row r="39" spans="1:15" s="17" customFormat="1" ht="21" hidden="1" customHeight="1">
      <c r="A39" s="19" t="s">
        <v>32</v>
      </c>
      <c r="D39" s="18"/>
      <c r="E39" s="18"/>
      <c r="F39" s="18"/>
      <c r="J39" s="18"/>
      <c r="K39" s="18"/>
      <c r="N39" s="18"/>
      <c r="O39" s="18"/>
    </row>
    <row r="40" spans="1:15" s="17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16" customFormat="1" ht="21" hidden="1" customHeight="1">
      <c r="A41" s="111" t="s">
        <v>21</v>
      </c>
      <c r="B41" s="111" t="s">
        <v>22</v>
      </c>
      <c r="C41" s="111" t="s">
        <v>23</v>
      </c>
      <c r="D41" s="143" t="s">
        <v>23</v>
      </c>
      <c r="E41" s="27"/>
      <c r="F41" s="111" t="s">
        <v>24</v>
      </c>
      <c r="G41" s="111" t="s">
        <v>19</v>
      </c>
      <c r="H41" s="140" t="s">
        <v>33</v>
      </c>
      <c r="I41" s="140" t="s">
        <v>29</v>
      </c>
      <c r="J41" s="140" t="s">
        <v>30</v>
      </c>
      <c r="K41" s="140" t="s">
        <v>39</v>
      </c>
      <c r="L41" s="133" t="s">
        <v>25</v>
      </c>
      <c r="M41" s="134"/>
      <c r="N41" s="137" t="s">
        <v>26</v>
      </c>
      <c r="O41" s="137"/>
    </row>
    <row r="42" spans="1:15" s="16" customFormat="1" ht="21" hidden="1" customHeight="1">
      <c r="A42" s="138"/>
      <c r="B42" s="138"/>
      <c r="C42" s="138"/>
      <c r="D42" s="144"/>
      <c r="F42" s="138"/>
      <c r="G42" s="138"/>
      <c r="H42" s="141"/>
      <c r="I42" s="141"/>
      <c r="J42" s="141"/>
      <c r="K42" s="141"/>
      <c r="L42" s="135"/>
      <c r="M42" s="136"/>
      <c r="N42" s="137"/>
      <c r="O42" s="137"/>
    </row>
    <row r="43" spans="1:15" s="16" customFormat="1" ht="21" hidden="1" customHeight="1">
      <c r="A43" s="139"/>
      <c r="B43" s="139"/>
      <c r="C43" s="139"/>
      <c r="D43" s="145"/>
      <c r="E43" s="29"/>
      <c r="F43" s="139"/>
      <c r="G43" s="139"/>
      <c r="H43" s="142"/>
      <c r="I43" s="142"/>
      <c r="J43" s="142"/>
      <c r="K43" s="142"/>
      <c r="L43" s="28" t="s">
        <v>27</v>
      </c>
      <c r="M43" s="20" t="s">
        <v>28</v>
      </c>
      <c r="N43" s="14" t="s">
        <v>27</v>
      </c>
      <c r="O43" s="15" t="s">
        <v>28</v>
      </c>
    </row>
    <row r="44" spans="1:15" s="33" customFormat="1" ht="21" hidden="1" customHeight="1">
      <c r="A44" s="21">
        <v>1</v>
      </c>
      <c r="B44" s="30" t="s">
        <v>50</v>
      </c>
      <c r="C44" s="30" t="s">
        <v>51</v>
      </c>
      <c r="D44" s="31" t="s">
        <v>52</v>
      </c>
      <c r="E44" s="31" t="s">
        <v>53</v>
      </c>
      <c r="F44" s="10" t="s">
        <v>12</v>
      </c>
      <c r="G44" s="22" t="s">
        <v>0</v>
      </c>
      <c r="H44" s="31" t="s">
        <v>47</v>
      </c>
      <c r="I44" s="31">
        <v>584.20000000000005</v>
      </c>
      <c r="J44" s="32" t="s">
        <v>2</v>
      </c>
      <c r="K44" s="10" t="s">
        <v>72</v>
      </c>
      <c r="L44" s="31"/>
      <c r="M44" s="31"/>
      <c r="N44" s="31"/>
      <c r="O44" s="31"/>
    </row>
    <row r="45" spans="1:15" s="33" customFormat="1" ht="21" hidden="1" customHeight="1">
      <c r="A45" s="10">
        <v>2</v>
      </c>
      <c r="B45" s="34" t="s">
        <v>50</v>
      </c>
      <c r="C45" s="31"/>
      <c r="D45" s="34" t="s">
        <v>50</v>
      </c>
      <c r="E45" s="10"/>
      <c r="F45" s="10" t="s">
        <v>46</v>
      </c>
      <c r="G45" s="31"/>
      <c r="H45" s="10" t="s">
        <v>45</v>
      </c>
      <c r="I45" s="31"/>
      <c r="J45" s="10"/>
      <c r="K45" s="10"/>
      <c r="L45" s="31"/>
      <c r="M45" s="31"/>
      <c r="N45" s="10"/>
      <c r="O45" s="10"/>
    </row>
    <row r="46" spans="1:15" s="33" customFormat="1" ht="21" hidden="1" customHeight="1">
      <c r="A46" s="11"/>
      <c r="D46" s="11"/>
      <c r="E46" s="11"/>
      <c r="F46" s="11"/>
      <c r="H46" s="11"/>
      <c r="J46" s="11"/>
      <c r="K46" s="11"/>
    </row>
    <row r="47" spans="1:15" s="33" customFormat="1" ht="21" hidden="1" customHeight="1">
      <c r="A47" s="11"/>
      <c r="D47" s="11"/>
      <c r="E47" s="11"/>
      <c r="F47" s="11"/>
      <c r="I47" s="33" t="s">
        <v>3</v>
      </c>
      <c r="J47" s="11"/>
    </row>
    <row r="48" spans="1:15" s="33" customFormat="1" ht="21" hidden="1" customHeight="1">
      <c r="A48" s="11"/>
      <c r="D48" s="11"/>
      <c r="E48" s="11"/>
      <c r="F48" s="11"/>
      <c r="I48" s="33" t="s">
        <v>3</v>
      </c>
      <c r="J48" s="11"/>
      <c r="K48" s="11"/>
      <c r="N48" s="11"/>
      <c r="O48" s="11"/>
    </row>
    <row r="49" spans="1:15" s="33" customFormat="1" ht="21" hidden="1" customHeight="1">
      <c r="A49" s="11"/>
      <c r="B49" s="35" t="s">
        <v>3</v>
      </c>
      <c r="K49" s="33" t="s">
        <v>43</v>
      </c>
      <c r="M49" s="36"/>
      <c r="N49" s="37"/>
      <c r="O49" s="37"/>
    </row>
    <row r="50" spans="1:15" s="33" customFormat="1" ht="21" customHeight="1">
      <c r="A50" s="38"/>
      <c r="B50" s="35"/>
      <c r="C50" s="13"/>
      <c r="D50" s="13"/>
    </row>
    <row r="51" spans="1:15" s="33" customFormat="1" ht="21" customHeight="1">
      <c r="A51" s="11"/>
      <c r="B51" s="35"/>
      <c r="C51" s="13"/>
      <c r="D51" s="13"/>
      <c r="E51" s="11"/>
      <c r="F51" s="11"/>
      <c r="J51" s="11"/>
      <c r="K51" s="11"/>
      <c r="N51" s="11"/>
      <c r="O51" s="11"/>
    </row>
    <row r="52" spans="1:15" s="33" customFormat="1" ht="21" customHeight="1">
      <c r="A52" s="11"/>
      <c r="B52" s="35"/>
      <c r="C52" s="13"/>
      <c r="D52" s="13"/>
      <c r="E52" s="11"/>
      <c r="F52" s="11"/>
      <c r="J52" s="11"/>
      <c r="K52" s="11"/>
      <c r="N52" s="11"/>
      <c r="O52" s="11"/>
    </row>
    <row r="53" spans="1:15" s="33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17" customFormat="1" ht="21" customHeight="1">
      <c r="A54" s="18"/>
      <c r="D54" s="18"/>
      <c r="E54" s="18"/>
      <c r="F54" s="18"/>
      <c r="J54" s="18"/>
      <c r="K54" s="18"/>
      <c r="N54" s="18"/>
      <c r="O54" s="18"/>
    </row>
    <row r="55" spans="1:15" s="17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7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7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7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s="17" customFormat="1" ht="21" customHeight="1">
      <c r="A59" s="18"/>
      <c r="D59" s="18"/>
      <c r="E59" s="18"/>
      <c r="F59" s="18"/>
      <c r="J59" s="18"/>
      <c r="K59" s="18"/>
      <c r="N59" s="18"/>
      <c r="O59" s="18"/>
    </row>
    <row r="60" spans="1:15" s="17" customFormat="1" ht="21" customHeight="1">
      <c r="A60" s="18"/>
      <c r="D60" s="18"/>
      <c r="E60" s="18"/>
      <c r="F60" s="18"/>
      <c r="J60" s="18"/>
      <c r="K60" s="18"/>
      <c r="N60" s="18"/>
      <c r="O60" s="18"/>
    </row>
    <row r="61" spans="1:15" s="17" customFormat="1" ht="21" customHeight="1">
      <c r="A61" s="18"/>
      <c r="D61" s="18"/>
      <c r="E61" s="18"/>
      <c r="F61" s="18"/>
      <c r="J61" s="18"/>
      <c r="K61" s="18"/>
      <c r="N61" s="18"/>
      <c r="O61" s="18"/>
    </row>
    <row r="62" spans="1:15" s="17" customFormat="1" ht="21" customHeight="1">
      <c r="A62" s="18"/>
      <c r="D62" s="18"/>
      <c r="E62" s="18"/>
      <c r="F62" s="18"/>
      <c r="J62" s="18"/>
      <c r="K62" s="18"/>
      <c r="N62" s="18"/>
      <c r="O62" s="18"/>
    </row>
    <row r="63" spans="1:15" s="17" customFormat="1" ht="21" customHeight="1">
      <c r="A63" s="18"/>
      <c r="D63" s="18"/>
      <c r="E63" s="18"/>
      <c r="F63" s="18"/>
      <c r="J63" s="18"/>
      <c r="K63" s="18"/>
      <c r="N63" s="18"/>
      <c r="O63" s="18"/>
    </row>
    <row r="64" spans="1:15" s="17" customFormat="1" ht="21" customHeight="1">
      <c r="A64" s="18"/>
      <c r="D64" s="18"/>
      <c r="E64" s="18"/>
      <c r="F64" s="18"/>
      <c r="J64" s="18"/>
      <c r="K64" s="18"/>
      <c r="N64" s="18"/>
      <c r="O64" s="18"/>
    </row>
    <row r="65" spans="1:15" s="17" customFormat="1" ht="21" customHeight="1">
      <c r="A65" s="18"/>
      <c r="D65" s="18"/>
      <c r="E65" s="18"/>
      <c r="F65" s="18"/>
      <c r="J65" s="18"/>
      <c r="K65" s="18"/>
      <c r="N65" s="18"/>
      <c r="O65" s="18"/>
    </row>
    <row r="66" spans="1:15" s="17" customFormat="1" ht="21" customHeight="1">
      <c r="A66" s="18"/>
      <c r="D66" s="18"/>
      <c r="E66" s="18"/>
      <c r="F66" s="18"/>
      <c r="J66" s="18"/>
      <c r="K66" s="18"/>
      <c r="N66" s="18"/>
      <c r="O66" s="18"/>
    </row>
  </sheetData>
  <mergeCells count="38">
    <mergeCell ref="G15:G16"/>
    <mergeCell ref="H15:H16"/>
    <mergeCell ref="N28:N29"/>
    <mergeCell ref="K30:K37"/>
    <mergeCell ref="B30:B37"/>
    <mergeCell ref="C30:C37"/>
    <mergeCell ref="D30:D37"/>
    <mergeCell ref="F30:F37"/>
    <mergeCell ref="G28:J28"/>
    <mergeCell ref="A30:A37"/>
    <mergeCell ref="L41:M42"/>
    <mergeCell ref="N41:O42"/>
    <mergeCell ref="G41:G43"/>
    <mergeCell ref="H41:H43"/>
    <mergeCell ref="I41:I43"/>
    <mergeCell ref="J41:J43"/>
    <mergeCell ref="K41:K43"/>
    <mergeCell ref="A41:A43"/>
    <mergeCell ref="B41:B43"/>
    <mergeCell ref="C41:C43"/>
    <mergeCell ref="D41:D43"/>
    <mergeCell ref="F41:F43"/>
    <mergeCell ref="A1:N5"/>
    <mergeCell ref="K17:K18"/>
    <mergeCell ref="K15:K16"/>
    <mergeCell ref="A28:A29"/>
    <mergeCell ref="B28:B29"/>
    <mergeCell ref="C28:C29"/>
    <mergeCell ref="D28:D29"/>
    <mergeCell ref="E28:E29"/>
    <mergeCell ref="F28:F29"/>
    <mergeCell ref="A15:A16"/>
    <mergeCell ref="B15:B16"/>
    <mergeCell ref="C15:C16"/>
    <mergeCell ref="D15:D16"/>
    <mergeCell ref="E15:E16"/>
    <mergeCell ref="F15:F16"/>
    <mergeCell ref="K28:M28"/>
  </mergeCells>
  <pageMargins left="0.118110236220472" right="0.118110236220472" top="0.15748031496063" bottom="0" header="0.31496062992126" footer="0.31496062992126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9CE2-0D36-4511-ABC3-B66099752FCD}">
  <dimension ref="A1:O63"/>
  <sheetViews>
    <sheetView zoomScale="80" zoomScaleNormal="80" workbookViewId="0">
      <selection activeCell="N8" sqref="N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1.2656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384" width="8.73046875" style="1"/>
  </cols>
  <sheetData>
    <row r="1" spans="1:15" ht="23.25" customHeight="1">
      <c r="A1" s="119" t="s">
        <v>80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11.6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5" ht="11.6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5" ht="11.65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5" ht="11.65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22.5">
      <c r="A6" s="4" t="s">
        <v>40</v>
      </c>
      <c r="N6" s="5"/>
      <c r="O6" s="5" t="s">
        <v>68</v>
      </c>
    </row>
    <row r="7" spans="1:15" s="88" customFormat="1" ht="21" customHeight="1">
      <c r="A7" s="80" t="s">
        <v>4</v>
      </c>
      <c r="B7" s="86"/>
      <c r="C7" s="87"/>
      <c r="D7" s="80" t="s">
        <v>81</v>
      </c>
      <c r="E7" s="80"/>
      <c r="F7" s="90" t="str">
        <f>'ใบงาน Agilent_JOB 4.1'!F7</f>
        <v>xxx</v>
      </c>
      <c r="G7" s="90"/>
      <c r="J7" s="80"/>
      <c r="K7" s="88" t="s">
        <v>82</v>
      </c>
      <c r="L7" s="87" t="s">
        <v>95</v>
      </c>
      <c r="M7" s="87"/>
      <c r="N7" s="86">
        <f>'ใบงาน Agilent_JOB 4.1'!N7</f>
        <v>20260803</v>
      </c>
      <c r="O7" s="80"/>
    </row>
    <row r="8" spans="1:15" s="88" customFormat="1" ht="21" customHeight="1">
      <c r="A8" s="80" t="s">
        <v>6</v>
      </c>
      <c r="B8" s="88" t="s">
        <v>42</v>
      </c>
      <c r="D8" s="80" t="s">
        <v>96</v>
      </c>
      <c r="E8" s="80"/>
      <c r="F8" s="82" t="s">
        <v>50</v>
      </c>
      <c r="J8" s="80"/>
      <c r="K8" s="88" t="s">
        <v>16</v>
      </c>
      <c r="N8" s="89">
        <f>'ใบงาน Agilent_JOB 4.1'!N8</f>
        <v>2000</v>
      </c>
      <c r="O8" s="80"/>
    </row>
    <row r="9" spans="1:15" s="88" customFormat="1" ht="21" customHeight="1">
      <c r="A9" s="80" t="s">
        <v>5</v>
      </c>
      <c r="B9" s="88" t="s">
        <v>41</v>
      </c>
      <c r="D9" s="88" t="s">
        <v>97</v>
      </c>
      <c r="E9" s="80"/>
      <c r="F9" s="83" t="s">
        <v>54</v>
      </c>
      <c r="J9" s="80"/>
      <c r="K9" s="80" t="s">
        <v>99</v>
      </c>
      <c r="M9" s="80"/>
      <c r="N9" s="80" t="str">
        <f>'ใบงาน Agilent_JOB 4.1'!N9</f>
        <v>PO12345</v>
      </c>
      <c r="O9" s="80"/>
    </row>
    <row r="10" spans="1:15" s="17" customFormat="1" ht="21" customHeight="1">
      <c r="A10" s="18"/>
      <c r="D10" s="18"/>
      <c r="E10" s="18"/>
      <c r="F10" s="18"/>
      <c r="J10" s="18"/>
      <c r="K10" s="18"/>
      <c r="N10" s="18"/>
      <c r="O10" s="18"/>
    </row>
    <row r="11" spans="1:15" s="17" customFormat="1" ht="21" customHeight="1">
      <c r="A11" s="18"/>
      <c r="B11" s="50" t="s">
        <v>1</v>
      </c>
      <c r="C11" s="50" t="s">
        <v>65</v>
      </c>
      <c r="D11" s="51"/>
      <c r="E11" s="18"/>
      <c r="F11" s="18"/>
      <c r="J11" s="18"/>
      <c r="K11" s="9"/>
    </row>
    <row r="12" spans="1:15" s="8" customFormat="1" ht="21" customHeight="1">
      <c r="A12" s="9"/>
      <c r="B12" s="8" t="s">
        <v>100</v>
      </c>
      <c r="C12" t="s">
        <v>3</v>
      </c>
      <c r="D12" s="9"/>
      <c r="E12" s="9"/>
      <c r="F12" s="9"/>
      <c r="J12" s="9"/>
      <c r="K12" s="9"/>
      <c r="L12" s="18"/>
      <c r="M12" s="18"/>
      <c r="N12" s="18"/>
      <c r="O12" s="18"/>
    </row>
    <row r="13" spans="1:15" s="17" customFormat="1" ht="21" customHeight="1">
      <c r="A13" s="19" t="s">
        <v>34</v>
      </c>
      <c r="D13" s="18"/>
      <c r="E13" s="18"/>
      <c r="F13" s="18"/>
      <c r="J13" s="18"/>
      <c r="K13" s="9"/>
      <c r="L13" s="8"/>
      <c r="N13" s="18"/>
      <c r="O13" s="18"/>
    </row>
    <row r="14" spans="1:15" s="17" customFormat="1" ht="21" customHeight="1">
      <c r="A14" s="18"/>
      <c r="D14" s="18"/>
      <c r="E14" s="18"/>
      <c r="F14" s="18"/>
      <c r="J14" s="18"/>
      <c r="K14" s="9"/>
      <c r="L14" s="8"/>
      <c r="N14" s="18"/>
      <c r="O14" s="18"/>
    </row>
    <row r="15" spans="1:15" s="17" customFormat="1" ht="21" customHeight="1">
      <c r="A15" s="121" t="s">
        <v>21</v>
      </c>
      <c r="B15" s="123" t="s">
        <v>20</v>
      </c>
      <c r="C15" s="121" t="s">
        <v>19</v>
      </c>
      <c r="D15" s="121" t="s">
        <v>17</v>
      </c>
      <c r="E15" s="125" t="s">
        <v>37</v>
      </c>
      <c r="F15" s="127" t="s">
        <v>38</v>
      </c>
      <c r="G15" s="129" t="s">
        <v>37</v>
      </c>
      <c r="H15" s="147" t="s">
        <v>36</v>
      </c>
      <c r="I15" s="39"/>
      <c r="J15" s="40"/>
      <c r="K15" s="120"/>
    </row>
    <row r="16" spans="1:15" s="17" customFormat="1" ht="21" customHeight="1">
      <c r="A16" s="121"/>
      <c r="B16" s="124"/>
      <c r="C16" s="121"/>
      <c r="D16" s="121"/>
      <c r="E16" s="126"/>
      <c r="F16" s="128"/>
      <c r="G16" s="146"/>
      <c r="H16" s="148"/>
      <c r="I16" s="39"/>
      <c r="J16" s="40"/>
      <c r="K16" s="120"/>
    </row>
    <row r="17" spans="1:15" s="17" customFormat="1" ht="21" customHeight="1">
      <c r="A17" s="41">
        <v>1</v>
      </c>
      <c r="B17" s="52" t="s">
        <v>7</v>
      </c>
      <c r="C17" s="53" t="s">
        <v>1</v>
      </c>
      <c r="D17" s="49">
        <v>2</v>
      </c>
      <c r="E17" s="23">
        <f>D17*N8*(I44+J44)</f>
        <v>1544000</v>
      </c>
      <c r="F17" s="10">
        <v>50</v>
      </c>
      <c r="G17" s="47">
        <f>E17</f>
        <v>1544000</v>
      </c>
      <c r="H17" s="47">
        <f>G17*0.00328/F17</f>
        <v>101.2864</v>
      </c>
      <c r="K17" s="95" t="s">
        <v>106</v>
      </c>
      <c r="L17" s="8"/>
    </row>
    <row r="18" spans="1:15" s="17" customFormat="1" ht="21" customHeight="1">
      <c r="A18" s="12">
        <v>2</v>
      </c>
      <c r="B18" s="24" t="s">
        <v>35</v>
      </c>
      <c r="C18" s="24"/>
      <c r="D18" s="12"/>
      <c r="E18" s="12"/>
      <c r="F18" s="12"/>
      <c r="G18" s="24"/>
      <c r="H18" s="24"/>
      <c r="J18" s="18"/>
      <c r="K18" s="95"/>
      <c r="L18" s="8"/>
      <c r="N18" s="18"/>
      <c r="O18" s="18"/>
    </row>
    <row r="19" spans="1:15" s="17" customFormat="1" ht="21" customHeight="1">
      <c r="A19" s="12">
        <v>3</v>
      </c>
      <c r="B19" s="24" t="s">
        <v>44</v>
      </c>
      <c r="C19" s="24"/>
      <c r="D19" s="12" t="s">
        <v>63</v>
      </c>
      <c r="E19" s="12"/>
      <c r="F19" s="12"/>
      <c r="G19" s="24"/>
      <c r="H19" s="24"/>
      <c r="J19" s="18"/>
      <c r="K19" s="55"/>
      <c r="L19" s="8"/>
      <c r="N19" s="18"/>
      <c r="O19" s="18"/>
    </row>
    <row r="20" spans="1:15" s="17" customFormat="1" ht="21" customHeight="1">
      <c r="A20" s="12">
        <v>4</v>
      </c>
      <c r="B20" s="24" t="s">
        <v>78</v>
      </c>
      <c r="C20" s="24"/>
      <c r="D20" s="12" t="s">
        <v>79</v>
      </c>
      <c r="E20" s="12"/>
      <c r="F20" s="12"/>
      <c r="G20" s="24"/>
      <c r="H20" s="24"/>
      <c r="J20" s="18"/>
      <c r="K20" s="55"/>
      <c r="L20" s="8"/>
      <c r="N20" s="18"/>
      <c r="O20" s="18"/>
    </row>
    <row r="21" spans="1:15" s="17" customFormat="1" ht="21" customHeight="1">
      <c r="A21" s="12">
        <v>5</v>
      </c>
      <c r="B21" s="54" t="s">
        <v>9</v>
      </c>
      <c r="C21" s="49" t="s">
        <v>11</v>
      </c>
      <c r="D21" s="12">
        <f>N8</f>
        <v>2000</v>
      </c>
      <c r="E21" s="12"/>
      <c r="F21" s="12"/>
      <c r="G21" s="24"/>
      <c r="H21" s="24"/>
      <c r="J21" s="18"/>
      <c r="K21" s="55"/>
      <c r="L21" s="8"/>
      <c r="N21" s="18"/>
      <c r="O21" s="18"/>
    </row>
    <row r="22" spans="1:15" s="17" customFormat="1" ht="21" customHeight="1">
      <c r="A22" s="12">
        <v>6</v>
      </c>
      <c r="B22" s="24" t="s">
        <v>14</v>
      </c>
      <c r="C22" s="12" t="s">
        <v>15</v>
      </c>
      <c r="D22" s="12">
        <f>N8</f>
        <v>2000</v>
      </c>
      <c r="E22" s="12"/>
      <c r="F22" s="12"/>
      <c r="G22" s="24"/>
      <c r="H22" s="24"/>
      <c r="J22" s="18"/>
      <c r="K22" s="55"/>
      <c r="L22" s="8"/>
      <c r="N22" s="18"/>
      <c r="O22" s="18"/>
    </row>
    <row r="23" spans="1:15" s="17" customFormat="1" ht="21" customHeight="1">
      <c r="A23" s="12">
        <v>7</v>
      </c>
      <c r="B23" s="24" t="s">
        <v>31</v>
      </c>
      <c r="C23" s="12" t="s">
        <v>66</v>
      </c>
      <c r="D23" s="12" t="s">
        <v>87</v>
      </c>
      <c r="E23" s="12"/>
      <c r="F23" s="12"/>
      <c r="G23" s="24"/>
      <c r="H23" s="24"/>
      <c r="J23" s="18"/>
      <c r="K23" s="55"/>
      <c r="L23" s="8"/>
      <c r="N23" s="18"/>
      <c r="O23" s="18"/>
    </row>
    <row r="24" spans="1:15" s="17" customFormat="1" ht="21" customHeight="1">
      <c r="A24" s="12">
        <v>8</v>
      </c>
      <c r="B24" s="24" t="s">
        <v>86</v>
      </c>
      <c r="C24" s="24"/>
      <c r="D24" s="12"/>
      <c r="E24" s="12"/>
      <c r="F24" s="12"/>
      <c r="G24" s="24"/>
      <c r="H24" s="24"/>
      <c r="J24" s="18"/>
      <c r="K24" s="55"/>
      <c r="L24" s="56"/>
      <c r="M24" s="57"/>
    </row>
    <row r="25" spans="1:15" s="17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7" customFormat="1" ht="21" customHeight="1">
      <c r="A26" s="3" t="s">
        <v>85</v>
      </c>
      <c r="D26" s="18"/>
      <c r="E26" s="18"/>
      <c r="F26" s="18"/>
      <c r="I26" s="50" t="s">
        <v>94</v>
      </c>
      <c r="J26" s="51"/>
      <c r="K26" s="50"/>
      <c r="L26" s="50"/>
      <c r="M26" s="51"/>
      <c r="N26" s="50"/>
    </row>
    <row r="27" spans="1:15" s="17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17" customFormat="1" ht="21" customHeight="1">
      <c r="A28" s="121" t="s">
        <v>21</v>
      </c>
      <c r="B28" s="121" t="s">
        <v>20</v>
      </c>
      <c r="C28" s="121" t="s">
        <v>19</v>
      </c>
      <c r="D28" s="121" t="s">
        <v>17</v>
      </c>
      <c r="E28" s="122" t="s">
        <v>18</v>
      </c>
      <c r="F28" s="122" t="s">
        <v>88</v>
      </c>
      <c r="G28" s="129" t="s">
        <v>89</v>
      </c>
      <c r="H28" s="129"/>
      <c r="I28" s="129"/>
      <c r="J28" s="162"/>
      <c r="K28" s="129" t="s">
        <v>90</v>
      </c>
      <c r="L28" s="129"/>
      <c r="M28" s="129"/>
      <c r="N28" s="129" t="s">
        <v>84</v>
      </c>
      <c r="O28" s="8"/>
    </row>
    <row r="29" spans="1:15" s="17" customFormat="1" ht="21" customHeight="1">
      <c r="A29" s="121"/>
      <c r="B29" s="121"/>
      <c r="C29" s="121"/>
      <c r="D29" s="121"/>
      <c r="E29" s="122"/>
      <c r="F29" s="122"/>
      <c r="G29" s="7" t="s">
        <v>91</v>
      </c>
      <c r="H29" s="7" t="s">
        <v>92</v>
      </c>
      <c r="I29" s="7" t="s">
        <v>93</v>
      </c>
      <c r="J29" s="58" t="s">
        <v>84</v>
      </c>
      <c r="K29" s="6" t="s">
        <v>30</v>
      </c>
      <c r="L29" s="7" t="s">
        <v>27</v>
      </c>
      <c r="M29" s="7" t="s">
        <v>28</v>
      </c>
      <c r="N29" s="129"/>
      <c r="O29" s="8"/>
    </row>
    <row r="30" spans="1:15" s="17" customFormat="1" ht="21" customHeight="1">
      <c r="A30" s="130">
        <v>4.2</v>
      </c>
      <c r="B30" s="150" t="s">
        <v>51</v>
      </c>
      <c r="C30" s="153" t="s">
        <v>59</v>
      </c>
      <c r="D30" s="156">
        <v>2</v>
      </c>
      <c r="E30" s="25">
        <f>N8*D30</f>
        <v>4000</v>
      </c>
      <c r="F30" s="159">
        <f>N8*D30</f>
        <v>4000</v>
      </c>
      <c r="G30" s="59"/>
      <c r="H30" s="59"/>
      <c r="I30" s="59"/>
      <c r="J30" s="60"/>
      <c r="K30" s="149" t="s">
        <v>73</v>
      </c>
      <c r="L30" s="10"/>
      <c r="M30" s="24"/>
      <c r="N30" s="24"/>
      <c r="O30" s="8"/>
    </row>
    <row r="31" spans="1:15" s="17" customFormat="1" ht="21" customHeight="1">
      <c r="A31" s="131"/>
      <c r="B31" s="151"/>
      <c r="C31" s="154"/>
      <c r="D31" s="157"/>
      <c r="E31" s="25"/>
      <c r="F31" s="160"/>
      <c r="G31" s="59"/>
      <c r="H31" s="59"/>
      <c r="I31" s="59"/>
      <c r="J31" s="60"/>
      <c r="K31" s="149"/>
      <c r="L31" s="12"/>
      <c r="M31" s="24"/>
      <c r="N31" s="24"/>
      <c r="O31" s="8"/>
    </row>
    <row r="32" spans="1:15" s="17" customFormat="1" ht="21" customHeight="1">
      <c r="A32" s="131"/>
      <c r="B32" s="151"/>
      <c r="C32" s="154"/>
      <c r="D32" s="157"/>
      <c r="E32" s="25"/>
      <c r="F32" s="160"/>
      <c r="G32" s="59"/>
      <c r="H32" s="59"/>
      <c r="I32" s="59"/>
      <c r="J32" s="60"/>
      <c r="K32" s="149"/>
      <c r="L32" s="24"/>
      <c r="M32" s="24"/>
      <c r="N32" s="24"/>
      <c r="O32" s="8"/>
    </row>
    <row r="33" spans="1:15" s="17" customFormat="1" ht="21" customHeight="1">
      <c r="A33" s="131"/>
      <c r="B33" s="151"/>
      <c r="C33" s="154"/>
      <c r="D33" s="157"/>
      <c r="E33" s="25"/>
      <c r="F33" s="160"/>
      <c r="G33" s="59"/>
      <c r="H33" s="59"/>
      <c r="I33" s="59"/>
      <c r="J33" s="60"/>
      <c r="K33" s="149"/>
      <c r="L33" s="24"/>
      <c r="M33" s="24"/>
      <c r="N33" s="24"/>
      <c r="O33" s="8"/>
    </row>
    <row r="34" spans="1:15" s="17" customFormat="1" ht="21" customHeight="1">
      <c r="A34" s="131"/>
      <c r="B34" s="151"/>
      <c r="C34" s="154"/>
      <c r="D34" s="157"/>
      <c r="E34" s="25"/>
      <c r="F34" s="160"/>
      <c r="G34" s="59"/>
      <c r="H34" s="59"/>
      <c r="I34" s="59"/>
      <c r="J34" s="60"/>
      <c r="K34" s="149"/>
      <c r="L34" s="24"/>
      <c r="M34" s="24"/>
      <c r="N34" s="24"/>
      <c r="O34" s="8"/>
    </row>
    <row r="35" spans="1:15" s="17" customFormat="1" ht="21" customHeight="1">
      <c r="A35" s="131"/>
      <c r="B35" s="151"/>
      <c r="C35" s="154"/>
      <c r="D35" s="157"/>
      <c r="E35" s="25"/>
      <c r="F35" s="160"/>
      <c r="G35" s="59"/>
      <c r="H35" s="59"/>
      <c r="I35" s="59"/>
      <c r="J35" s="60"/>
      <c r="K35" s="149"/>
      <c r="L35" s="24"/>
      <c r="M35" s="24"/>
      <c r="N35" s="24"/>
      <c r="O35" s="8"/>
    </row>
    <row r="36" spans="1:15" s="17" customFormat="1" ht="21" customHeight="1">
      <c r="A36" s="131"/>
      <c r="B36" s="151"/>
      <c r="C36" s="154"/>
      <c r="D36" s="157"/>
      <c r="E36" s="25"/>
      <c r="F36" s="160"/>
      <c r="G36" s="59"/>
      <c r="H36" s="59"/>
      <c r="I36" s="59"/>
      <c r="J36" s="60"/>
      <c r="K36" s="149"/>
      <c r="L36" s="24"/>
      <c r="M36" s="24"/>
      <c r="N36" s="24"/>
      <c r="O36" s="8"/>
    </row>
    <row r="37" spans="1:15" s="17" customFormat="1" ht="21" customHeight="1">
      <c r="A37" s="132"/>
      <c r="B37" s="152"/>
      <c r="C37" s="155"/>
      <c r="D37" s="158"/>
      <c r="E37" s="25"/>
      <c r="F37" s="161"/>
      <c r="G37" s="59"/>
      <c r="H37" s="59"/>
      <c r="I37" s="59"/>
      <c r="J37" s="60"/>
      <c r="K37" s="149"/>
      <c r="L37" s="24"/>
      <c r="M37" s="24"/>
      <c r="N37" s="24"/>
      <c r="O37" s="8"/>
    </row>
    <row r="38" spans="1:15" s="17" customFormat="1" ht="21" customHeight="1">
      <c r="A38" s="18"/>
      <c r="C38" s="18"/>
      <c r="D38" s="18"/>
      <c r="E38" s="18"/>
      <c r="F38" s="26"/>
      <c r="I38" s="18"/>
      <c r="J38" s="18"/>
      <c r="M38" s="18"/>
      <c r="N38" s="18"/>
    </row>
    <row r="39" spans="1:15" s="17" customFormat="1" ht="21" hidden="1" customHeight="1">
      <c r="A39" s="19" t="s">
        <v>32</v>
      </c>
      <c r="D39" s="18"/>
      <c r="E39" s="18"/>
      <c r="F39" s="18"/>
      <c r="J39" s="18"/>
      <c r="K39" s="18"/>
      <c r="N39" s="18"/>
      <c r="O39" s="18"/>
    </row>
    <row r="40" spans="1:15" s="17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16" customFormat="1" ht="21" hidden="1" customHeight="1">
      <c r="A41" s="111" t="s">
        <v>21</v>
      </c>
      <c r="B41" s="111" t="s">
        <v>22</v>
      </c>
      <c r="C41" s="111" t="s">
        <v>23</v>
      </c>
      <c r="D41" s="133" t="s">
        <v>23</v>
      </c>
      <c r="E41" s="27"/>
      <c r="F41" s="111" t="s">
        <v>24</v>
      </c>
      <c r="G41" s="111" t="s">
        <v>19</v>
      </c>
      <c r="H41" s="140" t="s">
        <v>33</v>
      </c>
      <c r="I41" s="140" t="s">
        <v>29</v>
      </c>
      <c r="J41" s="140" t="s">
        <v>30</v>
      </c>
      <c r="K41" s="140" t="s">
        <v>39</v>
      </c>
      <c r="L41" s="133" t="s">
        <v>25</v>
      </c>
      <c r="M41" s="134"/>
      <c r="N41" s="137" t="s">
        <v>26</v>
      </c>
      <c r="O41" s="137"/>
    </row>
    <row r="42" spans="1:15" s="16" customFormat="1" ht="21" hidden="1" customHeight="1">
      <c r="A42" s="138"/>
      <c r="B42" s="138"/>
      <c r="C42" s="138"/>
      <c r="D42" s="163"/>
      <c r="F42" s="138"/>
      <c r="G42" s="138"/>
      <c r="H42" s="141"/>
      <c r="I42" s="141"/>
      <c r="J42" s="141"/>
      <c r="K42" s="141"/>
      <c r="L42" s="135"/>
      <c r="M42" s="136"/>
      <c r="N42" s="137"/>
      <c r="O42" s="137"/>
    </row>
    <row r="43" spans="1:15" s="16" customFormat="1" ht="21" hidden="1" customHeight="1">
      <c r="A43" s="139"/>
      <c r="B43" s="139"/>
      <c r="C43" s="139"/>
      <c r="D43" s="135"/>
      <c r="E43" s="29"/>
      <c r="F43" s="139"/>
      <c r="G43" s="139"/>
      <c r="H43" s="142"/>
      <c r="I43" s="142"/>
      <c r="J43" s="142"/>
      <c r="K43" s="142"/>
      <c r="L43" s="28" t="s">
        <v>27</v>
      </c>
      <c r="M43" s="20" t="s">
        <v>28</v>
      </c>
      <c r="N43" s="14" t="s">
        <v>27</v>
      </c>
      <c r="O43" s="15" t="s">
        <v>28</v>
      </c>
    </row>
    <row r="44" spans="1:15" s="33" customFormat="1" ht="21" hidden="1" customHeight="1">
      <c r="A44" s="41">
        <v>1</v>
      </c>
      <c r="B44" s="30" t="s">
        <v>50</v>
      </c>
      <c r="C44" s="30" t="s">
        <v>51</v>
      </c>
      <c r="D44" s="31" t="s">
        <v>54</v>
      </c>
      <c r="E44" s="31" t="s">
        <v>49</v>
      </c>
      <c r="F44" s="10" t="s">
        <v>13</v>
      </c>
      <c r="G44" s="22" t="s">
        <v>1</v>
      </c>
      <c r="H44" s="31" t="s">
        <v>48</v>
      </c>
      <c r="I44" s="31">
        <v>381</v>
      </c>
      <c r="J44" s="32" t="s">
        <v>2</v>
      </c>
      <c r="K44" s="10" t="s">
        <v>73</v>
      </c>
      <c r="L44" s="31"/>
      <c r="M44" s="31"/>
      <c r="N44" s="31"/>
      <c r="O44" s="31"/>
    </row>
    <row r="45" spans="1:15" s="33" customFormat="1" ht="21" hidden="1" customHeight="1">
      <c r="A45" s="10">
        <v>2</v>
      </c>
      <c r="B45" s="34" t="s">
        <v>50</v>
      </c>
      <c r="C45" s="31"/>
      <c r="D45" s="34" t="s">
        <v>50</v>
      </c>
      <c r="E45" s="10"/>
      <c r="F45" s="10" t="s">
        <v>46</v>
      </c>
      <c r="G45" s="31"/>
      <c r="H45" s="10" t="s">
        <v>45</v>
      </c>
      <c r="I45" s="31"/>
      <c r="J45" s="10"/>
      <c r="K45" s="10"/>
      <c r="L45" s="31"/>
      <c r="M45" s="31"/>
      <c r="N45" s="10"/>
      <c r="O45" s="10"/>
    </row>
    <row r="46" spans="1:15" s="33" customFormat="1" ht="21" hidden="1" customHeight="1">
      <c r="A46" s="11"/>
      <c r="D46" s="11"/>
      <c r="E46" s="11"/>
      <c r="F46" s="11"/>
      <c r="H46" s="11"/>
      <c r="J46" s="11"/>
      <c r="K46" s="11"/>
    </row>
    <row r="47" spans="1:15" s="33" customFormat="1" ht="21" hidden="1" customHeight="1">
      <c r="A47" s="11"/>
      <c r="D47" s="11"/>
      <c r="E47" s="11"/>
      <c r="F47" s="11"/>
      <c r="I47" s="33" t="s">
        <v>3</v>
      </c>
      <c r="J47" s="11"/>
    </row>
    <row r="48" spans="1:15" s="33" customFormat="1" ht="21" hidden="1" customHeight="1">
      <c r="A48" s="11"/>
      <c r="D48" s="11"/>
      <c r="E48" s="11"/>
      <c r="F48" s="11"/>
      <c r="I48" s="33" t="s">
        <v>3</v>
      </c>
      <c r="J48" s="11"/>
      <c r="K48" s="11"/>
      <c r="N48" s="11"/>
      <c r="O48" s="11"/>
    </row>
    <row r="49" spans="1:15" s="33" customFormat="1" ht="21" hidden="1" customHeight="1">
      <c r="A49" s="11"/>
      <c r="B49" s="35" t="s">
        <v>3</v>
      </c>
      <c r="K49" s="33" t="s">
        <v>43</v>
      </c>
      <c r="M49" s="36"/>
      <c r="N49" s="37"/>
      <c r="O49" s="37"/>
    </row>
    <row r="50" spans="1:15" s="33" customFormat="1" ht="21" customHeight="1">
      <c r="A50" s="38"/>
      <c r="B50" s="35"/>
      <c r="C50" s="13"/>
      <c r="D50" s="13"/>
    </row>
    <row r="51" spans="1:15" s="33" customFormat="1" ht="21" customHeight="1">
      <c r="A51" s="11"/>
      <c r="B51" s="35"/>
      <c r="C51" s="13"/>
      <c r="D51" s="13"/>
      <c r="E51" s="11"/>
      <c r="F51" s="11"/>
      <c r="J51" s="11"/>
      <c r="K51" s="11"/>
      <c r="N51" s="11"/>
      <c r="O51" s="11"/>
    </row>
    <row r="52" spans="1:15" s="33" customFormat="1" ht="21" customHeight="1">
      <c r="A52" s="11"/>
      <c r="B52" s="35"/>
      <c r="C52" s="13"/>
      <c r="D52" s="13"/>
      <c r="E52" s="11"/>
      <c r="F52" s="11"/>
      <c r="J52" s="11"/>
      <c r="K52" s="11"/>
      <c r="N52" s="11"/>
      <c r="O52" s="11"/>
    </row>
    <row r="53" spans="1:15" s="33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17" customFormat="1" ht="21" customHeight="1">
      <c r="A54" s="18"/>
      <c r="D54" s="18"/>
      <c r="E54" s="18"/>
      <c r="F54" s="18"/>
      <c r="J54" s="18"/>
      <c r="K54" s="18"/>
      <c r="N54" s="18"/>
      <c r="O54" s="18"/>
    </row>
    <row r="55" spans="1:15" s="17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7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7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7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ht="21" customHeight="1"/>
    <row r="60" spans="1:15" ht="21" customHeight="1"/>
    <row r="61" spans="1:15" ht="21" customHeight="1"/>
    <row r="62" spans="1:15" ht="21" customHeight="1"/>
    <row r="63" spans="1:15" ht="21" customHeight="1"/>
  </sheetData>
  <mergeCells count="38">
    <mergeCell ref="A1:N5"/>
    <mergeCell ref="K17:K18"/>
    <mergeCell ref="N28:N29"/>
    <mergeCell ref="K30:K37"/>
    <mergeCell ref="B30:B37"/>
    <mergeCell ref="C30:C37"/>
    <mergeCell ref="D30:D37"/>
    <mergeCell ref="F30:F37"/>
    <mergeCell ref="G15:G16"/>
    <mergeCell ref="H15:H16"/>
    <mergeCell ref="K15:K16"/>
    <mergeCell ref="F28:F29"/>
    <mergeCell ref="F15:F16"/>
    <mergeCell ref="G28:J28"/>
    <mergeCell ref="K28:M28"/>
    <mergeCell ref="A28:A29"/>
    <mergeCell ref="B28:B29"/>
    <mergeCell ref="C28:C29"/>
    <mergeCell ref="D28:D29"/>
    <mergeCell ref="E28:E29"/>
    <mergeCell ref="A15:A16"/>
    <mergeCell ref="B15:B16"/>
    <mergeCell ref="C15:C16"/>
    <mergeCell ref="D15:D16"/>
    <mergeCell ref="E15:E16"/>
    <mergeCell ref="A30:A37"/>
    <mergeCell ref="L41:M42"/>
    <mergeCell ref="N41:O42"/>
    <mergeCell ref="G41:G43"/>
    <mergeCell ref="H41:H43"/>
    <mergeCell ref="I41:I43"/>
    <mergeCell ref="J41:J43"/>
    <mergeCell ref="K41:K43"/>
    <mergeCell ref="A41:A43"/>
    <mergeCell ref="B41:B43"/>
    <mergeCell ref="C41:C43"/>
    <mergeCell ref="D41:D43"/>
    <mergeCell ref="F41:F43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C9B7-4AF0-4505-9740-BFDE7A5B5A16}">
  <dimension ref="A1:O61"/>
  <sheetViews>
    <sheetView zoomScale="69" zoomScaleNormal="69" workbookViewId="0">
      <selection activeCell="N8" sqref="N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1.2656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384" width="8.73046875" style="1"/>
  </cols>
  <sheetData>
    <row r="1" spans="1:15" ht="23.25" customHeight="1">
      <c r="A1" s="119" t="s">
        <v>80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11.6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5" ht="11.6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5" ht="11.65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5" ht="11.65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22.5">
      <c r="A6" s="4" t="s">
        <v>40</v>
      </c>
      <c r="N6" s="5"/>
      <c r="O6" s="5" t="s">
        <v>69</v>
      </c>
    </row>
    <row r="7" spans="1:15" s="88" customFormat="1" ht="21" customHeight="1">
      <c r="A7" s="80" t="s">
        <v>4</v>
      </c>
      <c r="B7" s="86"/>
      <c r="C7" s="87"/>
      <c r="D7" s="80" t="s">
        <v>81</v>
      </c>
      <c r="E7" s="80"/>
      <c r="F7" s="90" t="str">
        <f>'ใบงาน Agilent_JOB 4.1'!F7</f>
        <v>xxx</v>
      </c>
      <c r="G7" s="90"/>
      <c r="J7" s="80"/>
      <c r="K7" s="88" t="s">
        <v>82</v>
      </c>
      <c r="L7" s="87" t="s">
        <v>95</v>
      </c>
      <c r="M7" s="87"/>
      <c r="N7" s="86">
        <f>'ใบงาน Agilent_JOB 4.1'!N7</f>
        <v>20260803</v>
      </c>
      <c r="O7" s="80"/>
    </row>
    <row r="8" spans="1:15" s="88" customFormat="1" ht="21" customHeight="1">
      <c r="A8" s="80" t="s">
        <v>6</v>
      </c>
      <c r="B8" s="88" t="s">
        <v>42</v>
      </c>
      <c r="D8" s="80" t="s">
        <v>96</v>
      </c>
      <c r="E8" s="80"/>
      <c r="F8" s="82" t="s">
        <v>50</v>
      </c>
      <c r="J8" s="80"/>
      <c r="K8" s="88" t="s">
        <v>16</v>
      </c>
      <c r="N8" s="89">
        <v>2000</v>
      </c>
      <c r="O8" s="80"/>
    </row>
    <row r="9" spans="1:15" s="88" customFormat="1" ht="21" customHeight="1">
      <c r="A9" s="80" t="s">
        <v>5</v>
      </c>
      <c r="B9" s="88" t="s">
        <v>41</v>
      </c>
      <c r="D9" s="88" t="s">
        <v>97</v>
      </c>
      <c r="E9" s="80"/>
      <c r="F9" s="83" t="s">
        <v>55</v>
      </c>
      <c r="J9" s="80"/>
      <c r="K9" s="80" t="s">
        <v>99</v>
      </c>
      <c r="M9" s="80"/>
      <c r="N9" s="80" t="str">
        <f>'ใบงาน Agilent_JOB 4.1'!N9</f>
        <v>PO12345</v>
      </c>
      <c r="O9" s="80"/>
    </row>
    <row r="10" spans="1:15" s="33" customFormat="1" ht="21" customHeight="1">
      <c r="A10" s="11"/>
      <c r="D10" s="11"/>
      <c r="E10" s="11"/>
      <c r="F10" s="11"/>
      <c r="J10" s="11"/>
      <c r="K10" s="11"/>
      <c r="N10" s="11"/>
      <c r="O10" s="11"/>
    </row>
    <row r="11" spans="1:15" s="17" customFormat="1" ht="21" customHeight="1">
      <c r="A11" s="18"/>
      <c r="B11" s="50" t="s">
        <v>1</v>
      </c>
      <c r="C11" s="50" t="s">
        <v>65</v>
      </c>
      <c r="D11" s="51"/>
      <c r="E11" s="18"/>
      <c r="F11" s="18"/>
      <c r="J11" s="18"/>
      <c r="K11" s="9"/>
    </row>
    <row r="12" spans="1:15" s="8" customFormat="1" ht="21" customHeight="1">
      <c r="A12" s="9"/>
      <c r="B12" s="8" t="s">
        <v>100</v>
      </c>
      <c r="C12" t="s">
        <v>3</v>
      </c>
      <c r="D12" s="9"/>
      <c r="E12" s="9"/>
      <c r="F12" s="9"/>
      <c r="J12" s="9"/>
      <c r="K12" s="9"/>
      <c r="L12" s="18"/>
      <c r="M12" s="18"/>
      <c r="N12" s="18"/>
      <c r="O12" s="18"/>
    </row>
    <row r="13" spans="1:15" s="17" customFormat="1" ht="21" customHeight="1">
      <c r="A13" s="19" t="s">
        <v>34</v>
      </c>
      <c r="D13" s="18"/>
      <c r="E13" s="18"/>
      <c r="F13" s="18"/>
      <c r="J13" s="18"/>
      <c r="K13" s="9"/>
      <c r="L13" s="8"/>
      <c r="N13" s="18"/>
      <c r="O13" s="18"/>
    </row>
    <row r="14" spans="1:15" s="17" customFormat="1" ht="21" customHeight="1">
      <c r="A14" s="18"/>
      <c r="D14" s="18"/>
      <c r="E14" s="18"/>
      <c r="F14" s="18"/>
      <c r="J14" s="18"/>
      <c r="K14" s="9"/>
      <c r="L14" s="8"/>
      <c r="N14" s="18"/>
      <c r="O14" s="18"/>
    </row>
    <row r="15" spans="1:15" s="17" customFormat="1" ht="21" customHeight="1">
      <c r="A15" s="110" t="s">
        <v>21</v>
      </c>
      <c r="B15" s="111" t="s">
        <v>20</v>
      </c>
      <c r="C15" s="110" t="s">
        <v>19</v>
      </c>
      <c r="D15" s="110" t="s">
        <v>17</v>
      </c>
      <c r="E15" s="164" t="s">
        <v>37</v>
      </c>
      <c r="F15" s="133" t="s">
        <v>38</v>
      </c>
      <c r="G15" s="137" t="s">
        <v>37</v>
      </c>
      <c r="H15" s="166" t="s">
        <v>36</v>
      </c>
      <c r="J15" s="16"/>
      <c r="K15" s="120"/>
    </row>
    <row r="16" spans="1:15" s="17" customFormat="1" ht="21" customHeight="1">
      <c r="A16" s="110"/>
      <c r="B16" s="139"/>
      <c r="C16" s="110"/>
      <c r="D16" s="110"/>
      <c r="E16" s="165"/>
      <c r="F16" s="135"/>
      <c r="G16" s="140"/>
      <c r="H16" s="167"/>
      <c r="J16" s="16"/>
      <c r="K16" s="120"/>
    </row>
    <row r="17" spans="1:15" s="17" customFormat="1" ht="21" customHeight="1">
      <c r="A17" s="41">
        <v>1</v>
      </c>
      <c r="B17" s="52" t="s">
        <v>7</v>
      </c>
      <c r="C17" s="53" t="s">
        <v>1</v>
      </c>
      <c r="D17" s="49">
        <v>2</v>
      </c>
      <c r="E17" s="23">
        <f>D17*N8*(I44+J44)</f>
        <v>1340800</v>
      </c>
      <c r="F17" s="10">
        <v>50</v>
      </c>
      <c r="G17" s="47">
        <f>E17</f>
        <v>1340800</v>
      </c>
      <c r="H17" s="47">
        <f>G17*0.00328/F17</f>
        <v>87.956479999999999</v>
      </c>
      <c r="K17" s="95" t="s">
        <v>106</v>
      </c>
      <c r="L17" s="8"/>
    </row>
    <row r="18" spans="1:15" s="17" customFormat="1" ht="21" customHeight="1">
      <c r="A18" s="12">
        <v>2</v>
      </c>
      <c r="B18" s="24" t="s">
        <v>35</v>
      </c>
      <c r="C18" s="24"/>
      <c r="D18" s="12"/>
      <c r="E18" s="12"/>
      <c r="F18" s="12"/>
      <c r="G18" s="24"/>
      <c r="H18" s="24"/>
      <c r="J18" s="18"/>
      <c r="K18" s="95"/>
      <c r="L18" s="8"/>
      <c r="N18" s="18"/>
      <c r="O18" s="18"/>
    </row>
    <row r="19" spans="1:15" s="17" customFormat="1" ht="21" customHeight="1">
      <c r="A19" s="12">
        <v>3</v>
      </c>
      <c r="B19" s="24" t="s">
        <v>44</v>
      </c>
      <c r="C19" s="24"/>
      <c r="D19" s="12" t="s">
        <v>63</v>
      </c>
      <c r="E19" s="12"/>
      <c r="F19" s="12"/>
      <c r="G19" s="24"/>
      <c r="H19" s="24"/>
      <c r="J19" s="18"/>
      <c r="K19" s="55"/>
      <c r="L19" s="8"/>
      <c r="N19" s="18"/>
      <c r="O19" s="18"/>
    </row>
    <row r="20" spans="1:15" s="17" customFormat="1" ht="21" customHeight="1">
      <c r="A20" s="12">
        <v>4</v>
      </c>
      <c r="B20" s="24" t="s">
        <v>78</v>
      </c>
      <c r="C20" s="24"/>
      <c r="D20" s="12" t="s">
        <v>79</v>
      </c>
      <c r="E20" s="12"/>
      <c r="F20" s="12"/>
      <c r="G20" s="24"/>
      <c r="H20" s="24"/>
      <c r="J20" s="18"/>
      <c r="K20" s="55"/>
      <c r="L20" s="8"/>
      <c r="N20" s="18"/>
      <c r="O20" s="18"/>
    </row>
    <row r="21" spans="1:15" s="17" customFormat="1" ht="21" customHeight="1">
      <c r="A21" s="12">
        <v>5</v>
      </c>
      <c r="B21" s="54" t="s">
        <v>9</v>
      </c>
      <c r="C21" s="49" t="s">
        <v>11</v>
      </c>
      <c r="D21" s="12">
        <f>N8</f>
        <v>2000</v>
      </c>
      <c r="E21" s="12"/>
      <c r="F21" s="12"/>
      <c r="G21" s="24"/>
      <c r="H21" s="24"/>
      <c r="J21" s="18"/>
      <c r="K21" s="55"/>
      <c r="L21" s="8"/>
      <c r="N21" s="18"/>
      <c r="O21" s="18"/>
    </row>
    <row r="22" spans="1:15" s="17" customFormat="1" ht="21" customHeight="1">
      <c r="A22" s="12">
        <v>6</v>
      </c>
      <c r="B22" s="24" t="s">
        <v>14</v>
      </c>
      <c r="C22" s="12" t="s">
        <v>15</v>
      </c>
      <c r="D22" s="12">
        <f>N8</f>
        <v>2000</v>
      </c>
      <c r="E22" s="12"/>
      <c r="F22" s="12"/>
      <c r="G22" s="24"/>
      <c r="H22" s="24"/>
      <c r="J22" s="18"/>
      <c r="K22" s="55"/>
      <c r="L22" s="8"/>
      <c r="N22" s="18"/>
      <c r="O22" s="18"/>
    </row>
    <row r="23" spans="1:15" s="17" customFormat="1" ht="21" customHeight="1">
      <c r="A23" s="12">
        <v>7</v>
      </c>
      <c r="B23" s="24" t="s">
        <v>31</v>
      </c>
      <c r="C23" s="12" t="s">
        <v>66</v>
      </c>
      <c r="D23" s="12" t="s">
        <v>87</v>
      </c>
      <c r="E23" s="12"/>
      <c r="F23" s="12"/>
      <c r="G23" s="24"/>
      <c r="H23" s="24"/>
      <c r="J23" s="18"/>
      <c r="K23" s="55"/>
      <c r="L23" s="8"/>
      <c r="N23" s="18"/>
      <c r="O23" s="18"/>
    </row>
    <row r="24" spans="1:15" s="17" customFormat="1" ht="21" customHeight="1">
      <c r="A24" s="12">
        <v>8</v>
      </c>
      <c r="B24" s="24" t="s">
        <v>86</v>
      </c>
      <c r="C24" s="24"/>
      <c r="D24" s="12"/>
      <c r="E24" s="12"/>
      <c r="F24" s="12"/>
      <c r="G24" s="24"/>
      <c r="H24" s="24"/>
      <c r="J24" s="18"/>
      <c r="K24" s="55"/>
      <c r="L24" s="56"/>
      <c r="M24" s="57"/>
    </row>
    <row r="25" spans="1:15" s="17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7" customFormat="1" ht="21" customHeight="1">
      <c r="A26" s="3" t="s">
        <v>83</v>
      </c>
      <c r="D26" s="18"/>
      <c r="E26" s="18"/>
      <c r="F26" s="18"/>
      <c r="J26" s="18"/>
      <c r="K26" s="18"/>
      <c r="N26" s="18"/>
    </row>
    <row r="27" spans="1:15" s="17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17" customFormat="1" ht="21" customHeight="1">
      <c r="A28" s="121" t="s">
        <v>21</v>
      </c>
      <c r="B28" s="121" t="s">
        <v>20</v>
      </c>
      <c r="C28" s="121" t="s">
        <v>19</v>
      </c>
      <c r="D28" s="121" t="s">
        <v>17</v>
      </c>
      <c r="E28" s="122" t="s">
        <v>18</v>
      </c>
      <c r="F28" s="122" t="s">
        <v>88</v>
      </c>
      <c r="G28" s="129" t="s">
        <v>89</v>
      </c>
      <c r="H28" s="129"/>
      <c r="I28" s="129"/>
      <c r="J28" s="162"/>
      <c r="K28" s="129" t="s">
        <v>90</v>
      </c>
      <c r="L28" s="129"/>
      <c r="M28" s="129"/>
      <c r="N28" s="129" t="s">
        <v>84</v>
      </c>
      <c r="O28" s="8"/>
    </row>
    <row r="29" spans="1:15" s="17" customFormat="1" ht="21" customHeight="1">
      <c r="A29" s="121"/>
      <c r="B29" s="121"/>
      <c r="C29" s="121"/>
      <c r="D29" s="121"/>
      <c r="E29" s="122"/>
      <c r="F29" s="122"/>
      <c r="G29" s="7" t="s">
        <v>91</v>
      </c>
      <c r="H29" s="7" t="s">
        <v>92</v>
      </c>
      <c r="I29" s="7" t="s">
        <v>93</v>
      </c>
      <c r="J29" s="58" t="s">
        <v>84</v>
      </c>
      <c r="K29" s="6" t="s">
        <v>30</v>
      </c>
      <c r="L29" s="7" t="s">
        <v>27</v>
      </c>
      <c r="M29" s="7" t="s">
        <v>28</v>
      </c>
      <c r="N29" s="129"/>
      <c r="O29" s="8"/>
    </row>
    <row r="30" spans="1:15" s="17" customFormat="1" ht="21" customHeight="1">
      <c r="A30" s="130">
        <v>4.3</v>
      </c>
      <c r="B30" s="150" t="s">
        <v>51</v>
      </c>
      <c r="C30" s="153" t="s">
        <v>60</v>
      </c>
      <c r="D30" s="156">
        <v>2</v>
      </c>
      <c r="E30" s="25">
        <f>N8*D30</f>
        <v>4000</v>
      </c>
      <c r="F30" s="159">
        <f>N8*D30</f>
        <v>4000</v>
      </c>
      <c r="G30" s="59"/>
      <c r="H30" s="59"/>
      <c r="I30" s="59"/>
      <c r="J30" s="60"/>
      <c r="K30" s="149" t="s">
        <v>74</v>
      </c>
      <c r="L30" s="10"/>
      <c r="M30" s="24"/>
      <c r="N30" s="24"/>
      <c r="O30" s="8"/>
    </row>
    <row r="31" spans="1:15" s="17" customFormat="1" ht="21" customHeight="1">
      <c r="A31" s="131"/>
      <c r="B31" s="151"/>
      <c r="C31" s="154"/>
      <c r="D31" s="157"/>
      <c r="E31" s="25"/>
      <c r="F31" s="160"/>
      <c r="G31" s="59"/>
      <c r="H31" s="59"/>
      <c r="I31" s="59"/>
      <c r="J31" s="60"/>
      <c r="K31" s="149"/>
      <c r="L31" s="12"/>
      <c r="M31" s="24"/>
      <c r="N31" s="24"/>
      <c r="O31" s="8"/>
    </row>
    <row r="32" spans="1:15" s="17" customFormat="1" ht="21" customHeight="1">
      <c r="A32" s="131"/>
      <c r="B32" s="151"/>
      <c r="C32" s="154"/>
      <c r="D32" s="157"/>
      <c r="E32" s="25"/>
      <c r="F32" s="160"/>
      <c r="G32" s="59"/>
      <c r="H32" s="59"/>
      <c r="I32" s="59"/>
      <c r="J32" s="60"/>
      <c r="K32" s="149"/>
      <c r="L32" s="24"/>
      <c r="M32" s="24"/>
      <c r="N32" s="24"/>
      <c r="O32" s="8"/>
    </row>
    <row r="33" spans="1:15" s="17" customFormat="1" ht="21" customHeight="1">
      <c r="A33" s="131"/>
      <c r="B33" s="151"/>
      <c r="C33" s="154"/>
      <c r="D33" s="157"/>
      <c r="E33" s="25"/>
      <c r="F33" s="160"/>
      <c r="G33" s="59"/>
      <c r="H33" s="59"/>
      <c r="I33" s="59"/>
      <c r="J33" s="60"/>
      <c r="K33" s="149"/>
      <c r="L33" s="24"/>
      <c r="M33" s="24"/>
      <c r="N33" s="24"/>
      <c r="O33" s="8"/>
    </row>
    <row r="34" spans="1:15" s="17" customFormat="1" ht="21" customHeight="1">
      <c r="A34" s="131"/>
      <c r="B34" s="151"/>
      <c r="C34" s="154"/>
      <c r="D34" s="157"/>
      <c r="E34" s="25"/>
      <c r="F34" s="160"/>
      <c r="G34" s="59"/>
      <c r="H34" s="59"/>
      <c r="I34" s="59"/>
      <c r="J34" s="60"/>
      <c r="K34" s="149"/>
      <c r="L34" s="24"/>
      <c r="M34" s="24"/>
      <c r="N34" s="24"/>
      <c r="O34" s="8"/>
    </row>
    <row r="35" spans="1:15" s="17" customFormat="1" ht="21" customHeight="1">
      <c r="A35" s="131"/>
      <c r="B35" s="151"/>
      <c r="C35" s="154"/>
      <c r="D35" s="157"/>
      <c r="E35" s="25"/>
      <c r="F35" s="160"/>
      <c r="G35" s="59"/>
      <c r="H35" s="59"/>
      <c r="I35" s="59"/>
      <c r="J35" s="60"/>
      <c r="K35" s="149"/>
      <c r="L35" s="24"/>
      <c r="M35" s="24"/>
      <c r="N35" s="24"/>
      <c r="O35" s="8"/>
    </row>
    <row r="36" spans="1:15" s="17" customFormat="1" ht="21" customHeight="1">
      <c r="A36" s="131"/>
      <c r="B36" s="151"/>
      <c r="C36" s="154"/>
      <c r="D36" s="157"/>
      <c r="E36" s="25"/>
      <c r="F36" s="160"/>
      <c r="G36" s="59"/>
      <c r="H36" s="59"/>
      <c r="I36" s="59"/>
      <c r="J36" s="60"/>
      <c r="K36" s="149"/>
      <c r="L36" s="24"/>
      <c r="M36" s="24"/>
      <c r="N36" s="24"/>
      <c r="O36" s="8"/>
    </row>
    <row r="37" spans="1:15" s="17" customFormat="1" ht="21" customHeight="1">
      <c r="A37" s="132"/>
      <c r="B37" s="152"/>
      <c r="C37" s="155"/>
      <c r="D37" s="158"/>
      <c r="E37" s="25"/>
      <c r="F37" s="161"/>
      <c r="G37" s="59"/>
      <c r="H37" s="59"/>
      <c r="I37" s="59"/>
      <c r="J37" s="60"/>
      <c r="K37" s="149"/>
      <c r="L37" s="24"/>
      <c r="M37" s="24"/>
      <c r="N37" s="24"/>
      <c r="O37" s="8"/>
    </row>
    <row r="38" spans="1:15" s="17" customFormat="1" ht="21" customHeight="1">
      <c r="A38" s="18"/>
      <c r="C38" s="18"/>
      <c r="D38" s="18"/>
      <c r="E38" s="18"/>
      <c r="F38" s="26"/>
      <c r="I38" s="18"/>
      <c r="J38" s="18"/>
      <c r="M38" s="18"/>
      <c r="N38" s="18"/>
    </row>
    <row r="39" spans="1:15" s="17" customFormat="1" ht="21" hidden="1" customHeight="1">
      <c r="A39" s="19" t="s">
        <v>32</v>
      </c>
      <c r="D39" s="18"/>
      <c r="E39" s="18"/>
      <c r="F39" s="18"/>
      <c r="J39" s="18"/>
      <c r="K39" s="18"/>
      <c r="N39" s="18"/>
      <c r="O39" s="18"/>
    </row>
    <row r="40" spans="1:15" s="17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16" customFormat="1" ht="21" hidden="1" customHeight="1">
      <c r="A41" s="111" t="s">
        <v>21</v>
      </c>
      <c r="B41" s="111" t="s">
        <v>22</v>
      </c>
      <c r="C41" s="111" t="s">
        <v>23</v>
      </c>
      <c r="D41" s="143" t="s">
        <v>23</v>
      </c>
      <c r="E41" s="27"/>
      <c r="F41" s="111" t="s">
        <v>24</v>
      </c>
      <c r="G41" s="111" t="s">
        <v>19</v>
      </c>
      <c r="H41" s="140" t="s">
        <v>33</v>
      </c>
      <c r="I41" s="140" t="s">
        <v>29</v>
      </c>
      <c r="J41" s="140" t="s">
        <v>30</v>
      </c>
      <c r="K41" s="140" t="s">
        <v>39</v>
      </c>
      <c r="L41" s="133" t="s">
        <v>25</v>
      </c>
      <c r="M41" s="134"/>
      <c r="N41" s="137" t="s">
        <v>26</v>
      </c>
      <c r="O41" s="137"/>
    </row>
    <row r="42" spans="1:15" s="16" customFormat="1" ht="21" hidden="1" customHeight="1">
      <c r="A42" s="138"/>
      <c r="B42" s="138"/>
      <c r="C42" s="138"/>
      <c r="D42" s="144"/>
      <c r="F42" s="138"/>
      <c r="G42" s="138"/>
      <c r="H42" s="141"/>
      <c r="I42" s="141"/>
      <c r="J42" s="141"/>
      <c r="K42" s="141"/>
      <c r="L42" s="135"/>
      <c r="M42" s="136"/>
      <c r="N42" s="137"/>
      <c r="O42" s="137"/>
    </row>
    <row r="43" spans="1:15" s="16" customFormat="1" ht="21" hidden="1" customHeight="1">
      <c r="A43" s="139"/>
      <c r="B43" s="139"/>
      <c r="C43" s="139"/>
      <c r="D43" s="145"/>
      <c r="E43" s="29"/>
      <c r="F43" s="139"/>
      <c r="G43" s="139"/>
      <c r="H43" s="142"/>
      <c r="I43" s="142"/>
      <c r="J43" s="142"/>
      <c r="K43" s="142"/>
      <c r="L43" s="28" t="s">
        <v>27</v>
      </c>
      <c r="M43" s="20" t="s">
        <v>28</v>
      </c>
      <c r="N43" s="14" t="s">
        <v>27</v>
      </c>
      <c r="O43" s="15" t="s">
        <v>28</v>
      </c>
    </row>
    <row r="44" spans="1:15" s="33" customFormat="1" ht="21" hidden="1" customHeight="1">
      <c r="A44" s="41">
        <v>1</v>
      </c>
      <c r="B44" s="30" t="s">
        <v>50</v>
      </c>
      <c r="C44" s="30" t="s">
        <v>51</v>
      </c>
      <c r="D44" s="31" t="s">
        <v>55</v>
      </c>
      <c r="E44" s="31" t="s">
        <v>49</v>
      </c>
      <c r="F44" s="10" t="s">
        <v>13</v>
      </c>
      <c r="G44" s="22" t="s">
        <v>1</v>
      </c>
      <c r="H44" s="31" t="s">
        <v>48</v>
      </c>
      <c r="I44" s="31">
        <v>330.2</v>
      </c>
      <c r="J44" s="32" t="s">
        <v>2</v>
      </c>
      <c r="K44" s="10" t="s">
        <v>74</v>
      </c>
      <c r="L44" s="31"/>
      <c r="M44" s="31"/>
      <c r="N44" s="31"/>
      <c r="O44" s="31"/>
    </row>
    <row r="45" spans="1:15" s="33" customFormat="1" ht="21" hidden="1" customHeight="1">
      <c r="A45" s="10">
        <v>2</v>
      </c>
      <c r="B45" s="34" t="s">
        <v>50</v>
      </c>
      <c r="C45" s="31"/>
      <c r="D45" s="34" t="s">
        <v>50</v>
      </c>
      <c r="E45" s="10"/>
      <c r="F45" s="10" t="s">
        <v>46</v>
      </c>
      <c r="G45" s="31"/>
      <c r="H45" s="10" t="s">
        <v>45</v>
      </c>
      <c r="I45" s="31"/>
      <c r="J45" s="10"/>
      <c r="K45" s="10"/>
      <c r="L45" s="31"/>
      <c r="M45" s="31"/>
      <c r="N45" s="10"/>
      <c r="O45" s="10"/>
    </row>
    <row r="46" spans="1:15" s="33" customFormat="1" ht="21" hidden="1" customHeight="1">
      <c r="A46" s="11"/>
      <c r="D46" s="11"/>
      <c r="E46" s="11"/>
      <c r="F46" s="11"/>
      <c r="H46" s="11"/>
      <c r="J46" s="11"/>
      <c r="K46" s="11"/>
    </row>
    <row r="47" spans="1:15" s="33" customFormat="1" ht="21" hidden="1" customHeight="1">
      <c r="A47" s="11"/>
      <c r="D47" s="11"/>
      <c r="E47" s="11"/>
      <c r="F47" s="11"/>
      <c r="I47" s="33" t="s">
        <v>3</v>
      </c>
      <c r="J47" s="11"/>
    </row>
    <row r="48" spans="1:15" s="33" customFormat="1" ht="21" hidden="1" customHeight="1">
      <c r="A48" s="11"/>
      <c r="D48" s="11"/>
      <c r="E48" s="11"/>
      <c r="F48" s="11"/>
      <c r="I48" s="33" t="s">
        <v>3</v>
      </c>
      <c r="J48" s="11"/>
      <c r="K48" s="11"/>
      <c r="N48" s="11"/>
      <c r="O48" s="11"/>
    </row>
    <row r="49" spans="1:15" s="33" customFormat="1" ht="21" hidden="1" customHeight="1">
      <c r="A49" s="11"/>
      <c r="B49" s="35" t="s">
        <v>3</v>
      </c>
      <c r="K49" s="33" t="s">
        <v>43</v>
      </c>
      <c r="M49" s="36"/>
      <c r="N49" s="37"/>
      <c r="O49" s="37"/>
    </row>
    <row r="50" spans="1:15" s="33" customFormat="1" ht="21" customHeight="1">
      <c r="A50" s="38"/>
      <c r="B50" s="35"/>
      <c r="C50" s="13"/>
      <c r="D50" s="13"/>
    </row>
    <row r="51" spans="1:15" s="33" customFormat="1" ht="21" customHeight="1">
      <c r="A51" s="11"/>
      <c r="B51" s="35"/>
      <c r="C51" s="13"/>
      <c r="D51" s="13"/>
      <c r="E51" s="11"/>
      <c r="F51" s="11"/>
      <c r="J51" s="11"/>
      <c r="K51" s="11"/>
      <c r="N51" s="11"/>
      <c r="O51" s="11"/>
    </row>
    <row r="52" spans="1:15" s="33" customFormat="1" ht="21" customHeight="1">
      <c r="A52" s="11"/>
      <c r="B52" s="35"/>
      <c r="C52" s="13"/>
      <c r="D52" s="13"/>
      <c r="E52" s="11"/>
      <c r="F52" s="11"/>
      <c r="J52" s="11"/>
      <c r="K52" s="11"/>
      <c r="N52" s="11"/>
      <c r="O52" s="11"/>
    </row>
    <row r="53" spans="1:15" s="33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17" customFormat="1" ht="21" customHeight="1">
      <c r="A54" s="18"/>
      <c r="D54" s="18"/>
      <c r="E54" s="18"/>
      <c r="F54" s="18"/>
      <c r="J54" s="18"/>
      <c r="K54" s="18"/>
      <c r="N54" s="18"/>
      <c r="O54" s="18"/>
    </row>
    <row r="55" spans="1:15" s="17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7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7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7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s="17" customFormat="1" ht="21" customHeight="1">
      <c r="A59" s="18"/>
      <c r="D59" s="18"/>
      <c r="E59" s="18"/>
      <c r="F59" s="18"/>
      <c r="J59" s="18"/>
      <c r="K59" s="18"/>
      <c r="N59" s="18"/>
      <c r="O59" s="18"/>
    </row>
    <row r="60" spans="1:15" s="17" customFormat="1" ht="21" customHeight="1">
      <c r="A60" s="18"/>
      <c r="D60" s="18"/>
      <c r="E60" s="18"/>
      <c r="F60" s="18"/>
      <c r="J60" s="18"/>
      <c r="K60" s="18"/>
      <c r="N60" s="18"/>
      <c r="O60" s="18"/>
    </row>
    <row r="61" spans="1:15" s="17" customFormat="1" ht="21" customHeight="1">
      <c r="A61" s="18"/>
      <c r="D61" s="18"/>
      <c r="E61" s="18"/>
      <c r="F61" s="18"/>
      <c r="J61" s="18"/>
      <c r="K61" s="18"/>
      <c r="N61" s="18"/>
      <c r="O61" s="18"/>
    </row>
  </sheetData>
  <mergeCells count="38">
    <mergeCell ref="A1:N5"/>
    <mergeCell ref="K17:K18"/>
    <mergeCell ref="F30:F37"/>
    <mergeCell ref="G28:J28"/>
    <mergeCell ref="K28:M28"/>
    <mergeCell ref="N28:N29"/>
    <mergeCell ref="K30:K37"/>
    <mergeCell ref="G15:G16"/>
    <mergeCell ref="H15:H16"/>
    <mergeCell ref="K15:K16"/>
    <mergeCell ref="F28:F29"/>
    <mergeCell ref="F15:F16"/>
    <mergeCell ref="A28:A29"/>
    <mergeCell ref="B28:B29"/>
    <mergeCell ref="C28:C29"/>
    <mergeCell ref="D28:D29"/>
    <mergeCell ref="E28:E29"/>
    <mergeCell ref="A15:A16"/>
    <mergeCell ref="B15:B16"/>
    <mergeCell ref="C15:C16"/>
    <mergeCell ref="D15:D16"/>
    <mergeCell ref="E15:E16"/>
    <mergeCell ref="A30:A37"/>
    <mergeCell ref="L41:M42"/>
    <mergeCell ref="N41:O42"/>
    <mergeCell ref="G41:G43"/>
    <mergeCell ref="H41:H43"/>
    <mergeCell ref="I41:I43"/>
    <mergeCell ref="J41:J43"/>
    <mergeCell ref="K41:K43"/>
    <mergeCell ref="A41:A43"/>
    <mergeCell ref="B41:B43"/>
    <mergeCell ref="C41:C43"/>
    <mergeCell ref="D41:D43"/>
    <mergeCell ref="F41:F43"/>
    <mergeCell ref="B30:B37"/>
    <mergeCell ref="C30:C37"/>
    <mergeCell ref="D30:D37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0BAC-AD35-4728-9F79-D25DDB924734}">
  <dimension ref="A1:O74"/>
  <sheetViews>
    <sheetView zoomScale="66" zoomScaleNormal="66" workbookViewId="0">
      <selection activeCell="N8" sqref="N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1.2656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384" width="8.73046875" style="1"/>
  </cols>
  <sheetData>
    <row r="1" spans="1:15" ht="23.25" customHeight="1">
      <c r="A1" s="119" t="s">
        <v>80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11.6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5" ht="11.6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5" ht="11.65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5" ht="11.65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22.5">
      <c r="A6" s="4" t="s">
        <v>40</v>
      </c>
      <c r="N6" s="5"/>
      <c r="O6" s="5" t="s">
        <v>70</v>
      </c>
    </row>
    <row r="7" spans="1:15" s="88" customFormat="1" ht="21" customHeight="1">
      <c r="A7" s="80" t="s">
        <v>4</v>
      </c>
      <c r="B7" s="86"/>
      <c r="C7" s="87"/>
      <c r="D7" s="80" t="s">
        <v>81</v>
      </c>
      <c r="E7" s="80"/>
      <c r="F7" s="90" t="str">
        <f>'ใบงาน Agilent_JOB 4.1'!F7</f>
        <v>xxx</v>
      </c>
      <c r="G7" s="90"/>
      <c r="J7" s="80"/>
      <c r="K7" s="88" t="s">
        <v>82</v>
      </c>
      <c r="L7" s="87" t="s">
        <v>95</v>
      </c>
      <c r="M7" s="87"/>
      <c r="N7" s="86">
        <f>'ใบงาน Agilent_JOB 4.1'!N7</f>
        <v>20260803</v>
      </c>
      <c r="O7" s="80"/>
    </row>
    <row r="8" spans="1:15" s="88" customFormat="1" ht="21" customHeight="1">
      <c r="A8" s="80" t="s">
        <v>6</v>
      </c>
      <c r="B8" s="88" t="s">
        <v>42</v>
      </c>
      <c r="D8" s="80" t="s">
        <v>96</v>
      </c>
      <c r="E8" s="80"/>
      <c r="F8" s="82" t="s">
        <v>50</v>
      </c>
      <c r="J8" s="80"/>
      <c r="K8" s="88" t="s">
        <v>16</v>
      </c>
      <c r="N8" s="89">
        <v>2000</v>
      </c>
      <c r="O8" s="80"/>
    </row>
    <row r="9" spans="1:15" s="88" customFormat="1" ht="21" customHeight="1">
      <c r="A9" s="80" t="s">
        <v>5</v>
      </c>
      <c r="B9" s="88" t="s">
        <v>41</v>
      </c>
      <c r="D9" s="88" t="s">
        <v>97</v>
      </c>
      <c r="E9" s="80"/>
      <c r="F9" s="83" t="s">
        <v>56</v>
      </c>
      <c r="J9" s="80"/>
      <c r="K9" s="80" t="s">
        <v>99</v>
      </c>
      <c r="M9" s="80"/>
      <c r="N9" s="80" t="str">
        <f>'ใบงาน Agilent_JOB 4.1'!N9</f>
        <v>PO12345</v>
      </c>
      <c r="O9" s="80"/>
    </row>
    <row r="10" spans="1:15" s="17" customFormat="1" ht="21" customHeight="1">
      <c r="A10" s="18"/>
      <c r="D10" s="18"/>
      <c r="E10" s="18"/>
      <c r="F10" s="18"/>
      <c r="J10" s="18"/>
      <c r="K10" s="18"/>
      <c r="N10" s="18"/>
      <c r="O10" s="18"/>
    </row>
    <row r="11" spans="1:15" s="17" customFormat="1" ht="21" customHeight="1">
      <c r="A11" s="18"/>
      <c r="B11" s="50" t="s">
        <v>1</v>
      </c>
      <c r="C11" s="50" t="s">
        <v>65</v>
      </c>
      <c r="D11" s="51"/>
      <c r="E11" s="18"/>
      <c r="F11" s="18"/>
      <c r="G11" s="17" t="s">
        <v>3</v>
      </c>
      <c r="J11" s="18"/>
      <c r="K11" s="9"/>
    </row>
    <row r="12" spans="1:15" s="8" customFormat="1" ht="21" customHeight="1">
      <c r="A12" s="9"/>
      <c r="B12" s="8" t="s">
        <v>100</v>
      </c>
      <c r="C12" t="s">
        <v>3</v>
      </c>
      <c r="D12" s="9"/>
      <c r="E12" s="9"/>
      <c r="F12" s="9"/>
      <c r="J12" s="9"/>
      <c r="K12" s="9"/>
      <c r="L12" s="18"/>
      <c r="M12" s="18"/>
      <c r="N12" s="18"/>
      <c r="O12" s="18"/>
    </row>
    <row r="13" spans="1:15" s="17" customFormat="1" ht="21" customHeight="1">
      <c r="A13" s="19" t="s">
        <v>34</v>
      </c>
      <c r="D13" s="18"/>
      <c r="E13" s="18"/>
      <c r="F13" s="18"/>
      <c r="J13" s="18"/>
      <c r="K13" s="9"/>
      <c r="L13" s="8"/>
      <c r="N13" s="18"/>
      <c r="O13" s="18"/>
    </row>
    <row r="14" spans="1:15" s="17" customFormat="1" ht="21" customHeight="1">
      <c r="A14" s="18"/>
      <c r="D14" s="18"/>
      <c r="E14" s="18"/>
      <c r="F14" s="18"/>
      <c r="J14" s="18"/>
      <c r="K14" s="9"/>
      <c r="L14" s="8"/>
      <c r="N14" s="18"/>
      <c r="O14" s="18"/>
    </row>
    <row r="15" spans="1:15" s="17" customFormat="1" ht="21" customHeight="1">
      <c r="A15" s="121" t="s">
        <v>21</v>
      </c>
      <c r="B15" s="123" t="s">
        <v>20</v>
      </c>
      <c r="C15" s="121" t="s">
        <v>19</v>
      </c>
      <c r="D15" s="121" t="s">
        <v>17</v>
      </c>
      <c r="E15" s="125" t="s">
        <v>37</v>
      </c>
      <c r="F15" s="127" t="s">
        <v>38</v>
      </c>
      <c r="G15" s="129" t="s">
        <v>37</v>
      </c>
      <c r="H15" s="147" t="s">
        <v>36</v>
      </c>
      <c r="I15" s="39"/>
      <c r="J15" s="40"/>
      <c r="K15" s="120"/>
    </row>
    <row r="16" spans="1:15" s="17" customFormat="1" ht="21" customHeight="1">
      <c r="A16" s="121"/>
      <c r="B16" s="124"/>
      <c r="C16" s="121"/>
      <c r="D16" s="121"/>
      <c r="E16" s="126"/>
      <c r="F16" s="128"/>
      <c r="G16" s="146"/>
      <c r="H16" s="148"/>
      <c r="I16" s="39"/>
      <c r="J16" s="40"/>
      <c r="K16" s="120"/>
    </row>
    <row r="17" spans="1:15" s="17" customFormat="1" ht="21" customHeight="1">
      <c r="A17" s="41">
        <v>1</v>
      </c>
      <c r="B17" s="52" t="s">
        <v>7</v>
      </c>
      <c r="C17" s="53" t="s">
        <v>1</v>
      </c>
      <c r="D17" s="49">
        <v>2</v>
      </c>
      <c r="E17" s="23">
        <f>D17*N8*(I44+J44)</f>
        <v>934400</v>
      </c>
      <c r="F17" s="10">
        <v>50</v>
      </c>
      <c r="G17" s="47">
        <f>E17</f>
        <v>934400</v>
      </c>
      <c r="H17" s="47">
        <f>G17*0.00328/F17</f>
        <v>61.296639999999996</v>
      </c>
      <c r="K17" s="95" t="s">
        <v>106</v>
      </c>
      <c r="L17" s="8"/>
    </row>
    <row r="18" spans="1:15" s="17" customFormat="1" ht="21" customHeight="1">
      <c r="A18" s="12">
        <v>2</v>
      </c>
      <c r="B18" s="24" t="s">
        <v>35</v>
      </c>
      <c r="C18" s="24"/>
      <c r="D18" s="12"/>
      <c r="E18" s="12"/>
      <c r="F18" s="12"/>
      <c r="G18" s="24"/>
      <c r="H18" s="24"/>
      <c r="J18" s="18"/>
      <c r="K18" s="95"/>
      <c r="L18" s="8"/>
      <c r="N18" s="18"/>
      <c r="O18" s="18"/>
    </row>
    <row r="19" spans="1:15" s="17" customFormat="1" ht="21" customHeight="1">
      <c r="A19" s="12">
        <v>3</v>
      </c>
      <c r="B19" s="24" t="s">
        <v>44</v>
      </c>
      <c r="C19" s="24"/>
      <c r="D19" s="12" t="s">
        <v>77</v>
      </c>
      <c r="E19" s="12"/>
      <c r="F19" s="12"/>
      <c r="G19" s="24"/>
      <c r="H19" s="24"/>
      <c r="J19" s="18"/>
      <c r="K19" s="55"/>
      <c r="L19" s="8"/>
      <c r="N19" s="18"/>
      <c r="O19" s="18"/>
    </row>
    <row r="20" spans="1:15" s="17" customFormat="1" ht="21" customHeight="1">
      <c r="A20" s="12">
        <v>4</v>
      </c>
      <c r="B20" s="24" t="s">
        <v>78</v>
      </c>
      <c r="C20" s="24"/>
      <c r="D20" s="12" t="s">
        <v>79</v>
      </c>
      <c r="E20" s="12"/>
      <c r="F20" s="12"/>
      <c r="G20" s="24"/>
      <c r="H20" s="24"/>
      <c r="J20" s="18"/>
      <c r="K20" s="55"/>
      <c r="L20" s="8"/>
      <c r="N20" s="18"/>
      <c r="O20" s="18"/>
    </row>
    <row r="21" spans="1:15" s="17" customFormat="1" ht="21" customHeight="1">
      <c r="A21" s="12">
        <v>5</v>
      </c>
      <c r="B21" s="54" t="s">
        <v>9</v>
      </c>
      <c r="C21" s="49" t="s">
        <v>11</v>
      </c>
      <c r="D21" s="12">
        <f>N8</f>
        <v>2000</v>
      </c>
      <c r="E21" s="12"/>
      <c r="F21" s="12"/>
      <c r="G21" s="24"/>
      <c r="H21" s="24"/>
      <c r="J21" s="18"/>
      <c r="K21" s="55"/>
      <c r="L21" s="8"/>
      <c r="N21" s="18"/>
      <c r="O21" s="18"/>
    </row>
    <row r="22" spans="1:15" s="17" customFormat="1" ht="21" customHeight="1">
      <c r="A22" s="12">
        <v>6</v>
      </c>
      <c r="B22" s="24" t="s">
        <v>14</v>
      </c>
      <c r="C22" s="12" t="s">
        <v>15</v>
      </c>
      <c r="D22" s="12">
        <f>N8</f>
        <v>2000</v>
      </c>
      <c r="E22" s="12"/>
      <c r="F22" s="12"/>
      <c r="G22" s="24"/>
      <c r="H22" s="24"/>
      <c r="J22" s="18"/>
      <c r="K22" s="55"/>
      <c r="L22" s="8"/>
      <c r="N22" s="18"/>
      <c r="O22" s="18"/>
    </row>
    <row r="23" spans="1:15" s="17" customFormat="1" ht="21" customHeight="1">
      <c r="A23" s="12">
        <v>7</v>
      </c>
      <c r="B23" s="24" t="s">
        <v>31</v>
      </c>
      <c r="C23" s="12" t="s">
        <v>66</v>
      </c>
      <c r="D23" s="12" t="s">
        <v>87</v>
      </c>
      <c r="E23" s="12"/>
      <c r="F23" s="12"/>
      <c r="G23" s="24"/>
      <c r="H23" s="24"/>
      <c r="J23" s="18"/>
      <c r="K23" s="55"/>
      <c r="L23" s="8"/>
      <c r="N23" s="18"/>
      <c r="O23" s="18"/>
    </row>
    <row r="24" spans="1:15" s="17" customFormat="1" ht="21" customHeight="1">
      <c r="A24" s="12">
        <v>8</v>
      </c>
      <c r="B24" s="24" t="s">
        <v>86</v>
      </c>
      <c r="C24" s="24"/>
      <c r="D24" s="12"/>
      <c r="E24" s="12"/>
      <c r="F24" s="12"/>
      <c r="G24" s="24"/>
      <c r="H24" s="24"/>
      <c r="J24" s="18"/>
      <c r="K24" s="55"/>
      <c r="L24" s="56"/>
      <c r="M24" s="57"/>
    </row>
    <row r="25" spans="1:15" s="17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7" customFormat="1" ht="21" customHeight="1">
      <c r="A26" s="3" t="s">
        <v>85</v>
      </c>
      <c r="D26" s="18"/>
      <c r="E26" s="18"/>
      <c r="F26" s="18"/>
      <c r="I26" s="50" t="s">
        <v>94</v>
      </c>
      <c r="J26" s="51"/>
      <c r="K26" s="50"/>
      <c r="L26" s="50"/>
      <c r="M26" s="51"/>
      <c r="N26" s="50"/>
    </row>
    <row r="27" spans="1:15" s="17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17" customFormat="1" ht="21" customHeight="1">
      <c r="A28" s="121" t="s">
        <v>21</v>
      </c>
      <c r="B28" s="121" t="s">
        <v>20</v>
      </c>
      <c r="C28" s="121" t="s">
        <v>19</v>
      </c>
      <c r="D28" s="121" t="s">
        <v>17</v>
      </c>
      <c r="E28" s="122" t="s">
        <v>18</v>
      </c>
      <c r="F28" s="122" t="s">
        <v>88</v>
      </c>
      <c r="G28" s="129" t="s">
        <v>89</v>
      </c>
      <c r="H28" s="129"/>
      <c r="I28" s="129"/>
      <c r="J28" s="162"/>
      <c r="K28" s="129" t="s">
        <v>90</v>
      </c>
      <c r="L28" s="129"/>
      <c r="M28" s="129"/>
      <c r="N28" s="129" t="s">
        <v>84</v>
      </c>
      <c r="O28" s="8"/>
    </row>
    <row r="29" spans="1:15" s="17" customFormat="1" ht="21" customHeight="1">
      <c r="A29" s="121"/>
      <c r="B29" s="121"/>
      <c r="C29" s="121"/>
      <c r="D29" s="121"/>
      <c r="E29" s="122"/>
      <c r="F29" s="122"/>
      <c r="G29" s="7" t="s">
        <v>91</v>
      </c>
      <c r="H29" s="7" t="s">
        <v>92</v>
      </c>
      <c r="I29" s="7" t="s">
        <v>93</v>
      </c>
      <c r="J29" s="58" t="s">
        <v>84</v>
      </c>
      <c r="K29" s="6" t="s">
        <v>30</v>
      </c>
      <c r="L29" s="7" t="s">
        <v>27</v>
      </c>
      <c r="M29" s="7" t="s">
        <v>28</v>
      </c>
      <c r="N29" s="129"/>
      <c r="O29" s="8"/>
    </row>
    <row r="30" spans="1:15" s="17" customFormat="1" ht="21" customHeight="1">
      <c r="A30" s="130">
        <v>4.4000000000000004</v>
      </c>
      <c r="B30" s="150" t="s">
        <v>51</v>
      </c>
      <c r="C30" s="153" t="s">
        <v>61</v>
      </c>
      <c r="D30" s="156">
        <v>2</v>
      </c>
      <c r="E30" s="25">
        <f>N8*D30</f>
        <v>4000</v>
      </c>
      <c r="F30" s="159">
        <f>N8*D30</f>
        <v>4000</v>
      </c>
      <c r="G30" s="59"/>
      <c r="H30" s="59"/>
      <c r="I30" s="59"/>
      <c r="J30" s="60"/>
      <c r="K30" s="149" t="s">
        <v>75</v>
      </c>
      <c r="L30" s="10"/>
      <c r="M30" s="24"/>
      <c r="N30" s="24"/>
      <c r="O30" s="8"/>
    </row>
    <row r="31" spans="1:15" s="17" customFormat="1" ht="21" customHeight="1">
      <c r="A31" s="131"/>
      <c r="B31" s="151"/>
      <c r="C31" s="154"/>
      <c r="D31" s="157"/>
      <c r="E31" s="25"/>
      <c r="F31" s="160"/>
      <c r="G31" s="59"/>
      <c r="H31" s="59"/>
      <c r="I31" s="59"/>
      <c r="J31" s="60"/>
      <c r="K31" s="149"/>
      <c r="L31" s="12"/>
      <c r="M31" s="24"/>
      <c r="N31" s="24"/>
      <c r="O31" s="8"/>
    </row>
    <row r="32" spans="1:15" s="17" customFormat="1" ht="21" customHeight="1">
      <c r="A32" s="131"/>
      <c r="B32" s="151"/>
      <c r="C32" s="154"/>
      <c r="D32" s="157"/>
      <c r="E32" s="25"/>
      <c r="F32" s="160"/>
      <c r="G32" s="59"/>
      <c r="H32" s="59"/>
      <c r="I32" s="59"/>
      <c r="J32" s="60"/>
      <c r="K32" s="149"/>
      <c r="L32" s="24"/>
      <c r="M32" s="24"/>
      <c r="N32" s="24"/>
      <c r="O32" s="8"/>
    </row>
    <row r="33" spans="1:15" s="17" customFormat="1" ht="21" customHeight="1">
      <c r="A33" s="131"/>
      <c r="B33" s="151"/>
      <c r="C33" s="154"/>
      <c r="D33" s="157"/>
      <c r="E33" s="25"/>
      <c r="F33" s="160"/>
      <c r="G33" s="59"/>
      <c r="H33" s="59"/>
      <c r="I33" s="59"/>
      <c r="J33" s="60"/>
      <c r="K33" s="149"/>
      <c r="L33" s="24"/>
      <c r="M33" s="24"/>
      <c r="N33" s="24"/>
      <c r="O33" s="8"/>
    </row>
    <row r="34" spans="1:15" s="17" customFormat="1" ht="21" customHeight="1">
      <c r="A34" s="131"/>
      <c r="B34" s="151"/>
      <c r="C34" s="154"/>
      <c r="D34" s="157"/>
      <c r="E34" s="25"/>
      <c r="F34" s="160"/>
      <c r="G34" s="59"/>
      <c r="H34" s="59"/>
      <c r="I34" s="59"/>
      <c r="J34" s="60"/>
      <c r="K34" s="149"/>
      <c r="L34" s="24"/>
      <c r="M34" s="24"/>
      <c r="N34" s="24"/>
      <c r="O34" s="8"/>
    </row>
    <row r="35" spans="1:15" s="17" customFormat="1" ht="21" customHeight="1">
      <c r="A35" s="131"/>
      <c r="B35" s="151"/>
      <c r="C35" s="154"/>
      <c r="D35" s="157"/>
      <c r="E35" s="25"/>
      <c r="F35" s="160"/>
      <c r="G35" s="59"/>
      <c r="H35" s="59"/>
      <c r="I35" s="59"/>
      <c r="J35" s="60"/>
      <c r="K35" s="149"/>
      <c r="L35" s="24"/>
      <c r="M35" s="24"/>
      <c r="N35" s="24"/>
      <c r="O35" s="8"/>
    </row>
    <row r="36" spans="1:15" s="17" customFormat="1" ht="21" customHeight="1">
      <c r="A36" s="131"/>
      <c r="B36" s="151"/>
      <c r="C36" s="154"/>
      <c r="D36" s="157"/>
      <c r="E36" s="25"/>
      <c r="F36" s="160"/>
      <c r="G36" s="59"/>
      <c r="H36" s="59"/>
      <c r="I36" s="59"/>
      <c r="J36" s="60"/>
      <c r="K36" s="149"/>
      <c r="L36" s="24"/>
      <c r="M36" s="24"/>
      <c r="N36" s="24"/>
      <c r="O36" s="8"/>
    </row>
    <row r="37" spans="1:15" s="17" customFormat="1" ht="21" customHeight="1">
      <c r="A37" s="132"/>
      <c r="B37" s="152"/>
      <c r="C37" s="155"/>
      <c r="D37" s="158"/>
      <c r="E37" s="25"/>
      <c r="F37" s="161"/>
      <c r="G37" s="59"/>
      <c r="H37" s="59"/>
      <c r="I37" s="59"/>
      <c r="J37" s="60"/>
      <c r="K37" s="149"/>
      <c r="L37" s="24"/>
      <c r="M37" s="24"/>
      <c r="N37" s="24"/>
      <c r="O37" s="8"/>
    </row>
    <row r="38" spans="1:15" s="17" customFormat="1" ht="21" customHeight="1">
      <c r="A38" s="18"/>
      <c r="C38" s="18"/>
      <c r="D38" s="18"/>
      <c r="E38" s="18"/>
      <c r="F38" s="26"/>
      <c r="I38" s="18"/>
      <c r="J38" s="18"/>
      <c r="M38" s="18"/>
      <c r="N38" s="18"/>
    </row>
    <row r="39" spans="1:15" s="17" customFormat="1" ht="21" hidden="1" customHeight="1">
      <c r="A39" s="19" t="s">
        <v>32</v>
      </c>
      <c r="D39" s="18"/>
      <c r="E39" s="18"/>
      <c r="F39" s="18"/>
      <c r="J39" s="18"/>
      <c r="K39" s="18"/>
      <c r="N39" s="18"/>
      <c r="O39" s="18"/>
    </row>
    <row r="40" spans="1:15" s="17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16" customFormat="1" ht="21" hidden="1" customHeight="1">
      <c r="A41" s="111" t="s">
        <v>21</v>
      </c>
      <c r="B41" s="111" t="s">
        <v>22</v>
      </c>
      <c r="C41" s="111" t="s">
        <v>23</v>
      </c>
      <c r="D41" s="143" t="s">
        <v>23</v>
      </c>
      <c r="E41" s="27"/>
      <c r="F41" s="111" t="s">
        <v>24</v>
      </c>
      <c r="G41" s="111" t="s">
        <v>19</v>
      </c>
      <c r="H41" s="140" t="s">
        <v>33</v>
      </c>
      <c r="I41" s="140" t="s">
        <v>29</v>
      </c>
      <c r="J41" s="140" t="s">
        <v>30</v>
      </c>
      <c r="K41" s="140" t="s">
        <v>39</v>
      </c>
      <c r="L41" s="133" t="s">
        <v>25</v>
      </c>
      <c r="M41" s="134"/>
      <c r="N41" s="137" t="s">
        <v>26</v>
      </c>
      <c r="O41" s="137"/>
    </row>
    <row r="42" spans="1:15" s="16" customFormat="1" ht="21" hidden="1" customHeight="1">
      <c r="A42" s="138"/>
      <c r="B42" s="138"/>
      <c r="C42" s="138"/>
      <c r="D42" s="144"/>
      <c r="F42" s="138"/>
      <c r="G42" s="138"/>
      <c r="H42" s="141"/>
      <c r="I42" s="141"/>
      <c r="J42" s="141"/>
      <c r="K42" s="141"/>
      <c r="L42" s="135"/>
      <c r="M42" s="136"/>
      <c r="N42" s="137"/>
      <c r="O42" s="137"/>
    </row>
    <row r="43" spans="1:15" s="16" customFormat="1" ht="21" hidden="1" customHeight="1">
      <c r="A43" s="139"/>
      <c r="B43" s="139"/>
      <c r="C43" s="139"/>
      <c r="D43" s="145"/>
      <c r="E43" s="29"/>
      <c r="F43" s="139"/>
      <c r="G43" s="139"/>
      <c r="H43" s="142"/>
      <c r="I43" s="142"/>
      <c r="J43" s="142"/>
      <c r="K43" s="142"/>
      <c r="L43" s="28" t="s">
        <v>27</v>
      </c>
      <c r="M43" s="20" t="s">
        <v>28</v>
      </c>
      <c r="N43" s="14" t="s">
        <v>27</v>
      </c>
      <c r="O43" s="15" t="s">
        <v>28</v>
      </c>
    </row>
    <row r="44" spans="1:15" s="33" customFormat="1" ht="21" hidden="1" customHeight="1">
      <c r="A44" s="41">
        <v>1</v>
      </c>
      <c r="B44" s="30" t="s">
        <v>50</v>
      </c>
      <c r="C44" s="30" t="s">
        <v>51</v>
      </c>
      <c r="D44" s="31" t="s">
        <v>56</v>
      </c>
      <c r="E44" s="31" t="s">
        <v>49</v>
      </c>
      <c r="F44" s="10" t="s">
        <v>13</v>
      </c>
      <c r="G44" s="22" t="s">
        <v>1</v>
      </c>
      <c r="H44" s="31" t="s">
        <v>48</v>
      </c>
      <c r="I44" s="31">
        <v>228.6</v>
      </c>
      <c r="J44" s="32" t="s">
        <v>2</v>
      </c>
      <c r="K44" s="10" t="s">
        <v>75</v>
      </c>
      <c r="L44" s="31"/>
      <c r="M44" s="31"/>
      <c r="N44" s="31"/>
      <c r="O44" s="31"/>
    </row>
    <row r="45" spans="1:15" s="33" customFormat="1" ht="21" hidden="1" customHeight="1">
      <c r="A45" s="10">
        <v>2</v>
      </c>
      <c r="B45" s="34" t="s">
        <v>50</v>
      </c>
      <c r="C45" s="31"/>
      <c r="D45" s="34" t="s">
        <v>50</v>
      </c>
      <c r="E45" s="10"/>
      <c r="F45" s="10" t="s">
        <v>46</v>
      </c>
      <c r="G45" s="31"/>
      <c r="H45" s="10" t="s">
        <v>45</v>
      </c>
      <c r="I45" s="31"/>
      <c r="J45" s="10"/>
      <c r="K45" s="10"/>
      <c r="L45" s="31"/>
      <c r="M45" s="31"/>
      <c r="N45" s="10"/>
      <c r="O45" s="10"/>
    </row>
    <row r="46" spans="1:15" s="33" customFormat="1" ht="21" hidden="1" customHeight="1">
      <c r="A46" s="11"/>
      <c r="D46" s="11"/>
      <c r="E46" s="11"/>
      <c r="F46" s="11"/>
      <c r="H46" s="11"/>
      <c r="J46" s="11"/>
      <c r="K46" s="11"/>
    </row>
    <row r="47" spans="1:15" s="33" customFormat="1" ht="21" hidden="1" customHeight="1">
      <c r="A47" s="11"/>
      <c r="D47" s="11"/>
      <c r="E47" s="11"/>
      <c r="F47" s="11"/>
      <c r="I47" s="33" t="s">
        <v>3</v>
      </c>
      <c r="J47" s="11"/>
    </row>
    <row r="48" spans="1:15" s="33" customFormat="1" ht="21" hidden="1" customHeight="1">
      <c r="A48" s="11"/>
      <c r="D48" s="11"/>
      <c r="E48" s="11"/>
      <c r="F48" s="11"/>
      <c r="I48" s="33" t="s">
        <v>3</v>
      </c>
      <c r="J48" s="11"/>
      <c r="K48" s="11"/>
      <c r="N48" s="11"/>
      <c r="O48" s="11"/>
    </row>
    <row r="49" spans="1:15" s="33" customFormat="1" ht="21" hidden="1" customHeight="1">
      <c r="A49" s="11"/>
      <c r="B49" s="35" t="s">
        <v>3</v>
      </c>
      <c r="K49" s="33" t="s">
        <v>43</v>
      </c>
      <c r="M49" s="36"/>
      <c r="N49" s="37"/>
      <c r="O49" s="37"/>
    </row>
    <row r="50" spans="1:15" s="33" customFormat="1" ht="21" customHeight="1">
      <c r="A50" s="38"/>
      <c r="B50" s="35"/>
      <c r="C50" s="13"/>
      <c r="D50" s="13"/>
    </row>
    <row r="51" spans="1:15" s="33" customFormat="1" ht="21" customHeight="1">
      <c r="A51" s="11"/>
      <c r="B51" s="35"/>
      <c r="C51" s="13"/>
      <c r="D51" s="13"/>
      <c r="E51" s="11"/>
      <c r="F51" s="11"/>
      <c r="J51" s="11"/>
      <c r="K51" s="11"/>
      <c r="N51" s="11"/>
      <c r="O51" s="11"/>
    </row>
    <row r="52" spans="1:15" s="33" customFormat="1" ht="21" customHeight="1">
      <c r="A52" s="11"/>
      <c r="B52" s="35"/>
      <c r="C52" s="13"/>
      <c r="D52" s="13"/>
      <c r="E52" s="11"/>
      <c r="F52" s="11"/>
      <c r="J52" s="11"/>
      <c r="K52" s="11"/>
      <c r="N52" s="11"/>
      <c r="O52" s="11"/>
    </row>
    <row r="53" spans="1:15" s="33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17" customFormat="1" ht="21" customHeight="1">
      <c r="A54" s="18"/>
      <c r="D54" s="18"/>
      <c r="E54" s="18"/>
      <c r="F54" s="18"/>
      <c r="J54" s="18"/>
      <c r="K54" s="18"/>
      <c r="N54" s="18"/>
      <c r="O54" s="18"/>
    </row>
    <row r="55" spans="1:15" s="17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7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7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7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s="17" customFormat="1" ht="21" customHeight="1">
      <c r="A59" s="18"/>
      <c r="D59" s="18"/>
      <c r="E59" s="18"/>
      <c r="F59" s="18"/>
      <c r="J59" s="18"/>
      <c r="K59" s="18"/>
      <c r="N59" s="18"/>
      <c r="O59" s="18"/>
    </row>
    <row r="60" spans="1:15" s="17" customFormat="1" ht="21" customHeight="1">
      <c r="A60" s="18"/>
      <c r="D60" s="18"/>
      <c r="E60" s="18"/>
      <c r="F60" s="18"/>
      <c r="J60" s="18"/>
      <c r="K60" s="18"/>
      <c r="N60" s="18"/>
      <c r="O60" s="18"/>
    </row>
    <row r="61" spans="1:15" s="17" customFormat="1" ht="21" customHeight="1">
      <c r="A61" s="18"/>
      <c r="D61" s="18"/>
      <c r="E61" s="18"/>
      <c r="F61" s="18"/>
      <c r="J61" s="18"/>
      <c r="K61" s="18"/>
      <c r="N61" s="18"/>
      <c r="O61" s="18"/>
    </row>
    <row r="62" spans="1:15" s="17" customFormat="1" ht="21" customHeight="1">
      <c r="A62" s="18"/>
      <c r="D62" s="18"/>
      <c r="E62" s="18"/>
      <c r="F62" s="18"/>
      <c r="J62" s="18"/>
      <c r="K62" s="18"/>
      <c r="N62" s="18"/>
      <c r="O62" s="18"/>
    </row>
    <row r="63" spans="1:15" s="17" customFormat="1" ht="21" customHeight="1">
      <c r="A63" s="18"/>
      <c r="D63" s="18"/>
      <c r="E63" s="18"/>
      <c r="F63" s="18"/>
      <c r="J63" s="18"/>
      <c r="K63" s="18"/>
      <c r="N63" s="18"/>
      <c r="O63" s="18"/>
    </row>
    <row r="64" spans="1:15" s="17" customFormat="1" ht="21" customHeight="1">
      <c r="A64" s="18"/>
      <c r="D64" s="18"/>
      <c r="E64" s="18"/>
      <c r="F64" s="18"/>
      <c r="J64" s="18"/>
      <c r="K64" s="18"/>
      <c r="N64" s="18"/>
      <c r="O64" s="18"/>
    </row>
    <row r="65" spans="1:15" s="17" customFormat="1" ht="21" customHeight="1">
      <c r="A65" s="18"/>
      <c r="D65" s="18"/>
      <c r="E65" s="18"/>
      <c r="F65" s="18"/>
      <c r="J65" s="18"/>
      <c r="K65" s="18"/>
      <c r="N65" s="18"/>
      <c r="O65" s="18"/>
    </row>
    <row r="66" spans="1:15" s="17" customFormat="1" ht="21" customHeight="1">
      <c r="A66" s="18"/>
      <c r="D66" s="18"/>
      <c r="E66" s="18"/>
      <c r="F66" s="18"/>
      <c r="J66" s="18"/>
      <c r="K66" s="18"/>
      <c r="N66" s="18"/>
      <c r="O66" s="18"/>
    </row>
    <row r="67" spans="1:15" s="17" customFormat="1" ht="21" customHeight="1">
      <c r="A67" s="18"/>
      <c r="D67" s="18"/>
      <c r="E67" s="18"/>
      <c r="F67" s="18"/>
      <c r="J67" s="18"/>
      <c r="K67" s="18"/>
      <c r="N67" s="18"/>
      <c r="O67" s="18"/>
    </row>
    <row r="68" spans="1:15" s="17" customFormat="1" ht="21" customHeight="1">
      <c r="A68" s="18"/>
      <c r="D68" s="18"/>
      <c r="E68" s="18"/>
      <c r="F68" s="18"/>
      <c r="J68" s="18"/>
      <c r="K68" s="18"/>
      <c r="N68" s="18"/>
      <c r="O68" s="18"/>
    </row>
    <row r="69" spans="1:15" s="17" customFormat="1" ht="21" customHeight="1">
      <c r="A69" s="18"/>
      <c r="D69" s="18"/>
      <c r="E69" s="18"/>
      <c r="F69" s="18"/>
      <c r="J69" s="18"/>
      <c r="K69" s="18"/>
      <c r="N69" s="18"/>
      <c r="O69" s="18"/>
    </row>
    <row r="70" spans="1:15" s="17" customFormat="1" ht="21" customHeight="1">
      <c r="A70" s="18"/>
      <c r="D70" s="18"/>
      <c r="E70" s="18"/>
      <c r="F70" s="18"/>
      <c r="J70" s="18"/>
      <c r="K70" s="18"/>
      <c r="N70" s="18"/>
      <c r="O70" s="18"/>
    </row>
    <row r="71" spans="1:15" s="17" customFormat="1" ht="21" customHeight="1">
      <c r="A71" s="18"/>
      <c r="D71" s="18"/>
      <c r="E71" s="18"/>
      <c r="F71" s="18"/>
      <c r="J71" s="18"/>
      <c r="K71" s="18"/>
      <c r="N71" s="18"/>
      <c r="O71" s="18"/>
    </row>
    <row r="72" spans="1:15" s="17" customFormat="1" ht="21" customHeight="1">
      <c r="A72" s="18"/>
      <c r="D72" s="18"/>
      <c r="E72" s="18"/>
      <c r="F72" s="18"/>
      <c r="J72" s="18"/>
      <c r="K72" s="18"/>
      <c r="N72" s="18"/>
      <c r="O72" s="18"/>
    </row>
    <row r="73" spans="1:15" s="17" customFormat="1" ht="21" customHeight="1">
      <c r="A73" s="18"/>
      <c r="D73" s="18"/>
      <c r="E73" s="18"/>
      <c r="F73" s="18"/>
      <c r="J73" s="18"/>
      <c r="K73" s="18"/>
      <c r="N73" s="18"/>
      <c r="O73" s="18"/>
    </row>
    <row r="74" spans="1:15" s="17" customFormat="1" ht="21" customHeight="1">
      <c r="A74" s="18"/>
      <c r="D74" s="18"/>
      <c r="E74" s="18"/>
      <c r="F74" s="18"/>
      <c r="J74" s="18"/>
      <c r="K74" s="18"/>
      <c r="N74" s="18"/>
      <c r="O74" s="18"/>
    </row>
  </sheetData>
  <mergeCells count="38">
    <mergeCell ref="A1:N5"/>
    <mergeCell ref="K17:K18"/>
    <mergeCell ref="F30:F37"/>
    <mergeCell ref="G28:J28"/>
    <mergeCell ref="K28:M28"/>
    <mergeCell ref="N28:N29"/>
    <mergeCell ref="K30:K37"/>
    <mergeCell ref="G15:G16"/>
    <mergeCell ref="H15:H16"/>
    <mergeCell ref="K15:K16"/>
    <mergeCell ref="F28:F29"/>
    <mergeCell ref="F15:F16"/>
    <mergeCell ref="A28:A29"/>
    <mergeCell ref="B28:B29"/>
    <mergeCell ref="C28:C29"/>
    <mergeCell ref="D28:D29"/>
    <mergeCell ref="E28:E29"/>
    <mergeCell ref="A15:A16"/>
    <mergeCell ref="B15:B16"/>
    <mergeCell ref="C15:C16"/>
    <mergeCell ref="D15:D16"/>
    <mergeCell ref="E15:E16"/>
    <mergeCell ref="A30:A37"/>
    <mergeCell ref="L41:M42"/>
    <mergeCell ref="N41:O42"/>
    <mergeCell ref="G41:G43"/>
    <mergeCell ref="H41:H43"/>
    <mergeCell ref="I41:I43"/>
    <mergeCell ref="J41:J43"/>
    <mergeCell ref="K41:K43"/>
    <mergeCell ref="A41:A43"/>
    <mergeCell ref="B41:B43"/>
    <mergeCell ref="C41:C43"/>
    <mergeCell ref="D41:D43"/>
    <mergeCell ref="F41:F43"/>
    <mergeCell ref="B30:B37"/>
    <mergeCell ref="C30:C37"/>
    <mergeCell ref="D30:D37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AE99-5FCD-4BC6-B150-9DDD0B0CD28E}">
  <dimension ref="A1:O69"/>
  <sheetViews>
    <sheetView zoomScale="85" zoomScaleNormal="85" workbookViewId="0">
      <selection activeCell="N8" sqref="N8"/>
    </sheetView>
  </sheetViews>
  <sheetFormatPr defaultColWidth="8.73046875" defaultRowHeight="11.65"/>
  <cols>
    <col min="1" max="1" width="8.73046875" style="2"/>
    <col min="2" max="2" width="21.265625" style="1" customWidth="1"/>
    <col min="3" max="3" width="26.73046875" style="1" customWidth="1"/>
    <col min="4" max="4" width="12.73046875" style="2" customWidth="1"/>
    <col min="5" max="5" width="11.265625" style="2" hidden="1" customWidth="1"/>
    <col min="6" max="6" width="12.73046875" style="2" customWidth="1"/>
    <col min="7" max="7" width="14.73046875" style="1" customWidth="1"/>
    <col min="8" max="8" width="10.73046875" style="1" customWidth="1"/>
    <col min="9" max="9" width="12.73046875" style="1" customWidth="1"/>
    <col min="10" max="10" width="12.73046875" style="2" customWidth="1"/>
    <col min="11" max="11" width="14.73046875" style="2" customWidth="1"/>
    <col min="12" max="13" width="8.73046875" style="1" customWidth="1"/>
    <col min="14" max="15" width="13.73046875" style="2" customWidth="1"/>
    <col min="16" max="16384" width="8.73046875" style="1"/>
  </cols>
  <sheetData>
    <row r="1" spans="1:15" ht="23.25" customHeight="1">
      <c r="A1" s="119" t="s">
        <v>80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ht="11.6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5" ht="11.6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5" ht="11.65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5" ht="11.65" customHeight="1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22.5">
      <c r="A6" s="4" t="s">
        <v>40</v>
      </c>
      <c r="N6" s="5"/>
      <c r="O6" s="5" t="s">
        <v>71</v>
      </c>
    </row>
    <row r="7" spans="1:15" s="88" customFormat="1" ht="21" customHeight="1">
      <c r="A7" s="80" t="s">
        <v>4</v>
      </c>
      <c r="B7" s="86"/>
      <c r="C7" s="87"/>
      <c r="D7" s="80" t="s">
        <v>81</v>
      </c>
      <c r="E7" s="80"/>
      <c r="F7" s="90" t="str">
        <f>'ใบงาน Agilent_JOB 4.1'!F7</f>
        <v>xxx</v>
      </c>
      <c r="G7" s="90"/>
      <c r="J7" s="80"/>
      <c r="K7" s="88" t="s">
        <v>82</v>
      </c>
      <c r="L7" s="87" t="s">
        <v>95</v>
      </c>
      <c r="M7" s="87"/>
      <c r="N7" s="86">
        <f>'ใบงาน Agilent_JOB 4.1'!N7</f>
        <v>20260803</v>
      </c>
      <c r="O7" s="80"/>
    </row>
    <row r="8" spans="1:15" s="88" customFormat="1" ht="21" customHeight="1">
      <c r="A8" s="80" t="s">
        <v>6</v>
      </c>
      <c r="B8" s="88" t="s">
        <v>42</v>
      </c>
      <c r="D8" s="80" t="s">
        <v>96</v>
      </c>
      <c r="E8" s="80"/>
      <c r="F8" s="82" t="s">
        <v>50</v>
      </c>
      <c r="J8" s="80"/>
      <c r="K8" s="88" t="s">
        <v>16</v>
      </c>
      <c r="N8" s="89">
        <v>2000</v>
      </c>
      <c r="O8" s="80"/>
    </row>
    <row r="9" spans="1:15" s="88" customFormat="1" ht="21" customHeight="1">
      <c r="A9" s="80" t="s">
        <v>5</v>
      </c>
      <c r="B9" s="88" t="s">
        <v>41</v>
      </c>
      <c r="D9" s="88" t="s">
        <v>97</v>
      </c>
      <c r="E9" s="80"/>
      <c r="F9" s="83" t="s">
        <v>57</v>
      </c>
      <c r="J9" s="80"/>
      <c r="K9" s="80" t="s">
        <v>99</v>
      </c>
      <c r="M9" s="80"/>
      <c r="N9" s="80" t="str">
        <f>'ใบงาน Agilent_JOB 4.1'!N9</f>
        <v>PO12345</v>
      </c>
      <c r="O9" s="80"/>
    </row>
    <row r="10" spans="1:15" s="33" customFormat="1" ht="21" customHeight="1">
      <c r="A10" s="11"/>
      <c r="D10" s="11"/>
      <c r="E10" s="11"/>
      <c r="F10" s="11"/>
      <c r="J10" s="11"/>
      <c r="K10" s="11"/>
      <c r="N10" s="11"/>
      <c r="O10" s="11"/>
    </row>
    <row r="11" spans="1:15" s="17" customFormat="1" ht="21" customHeight="1">
      <c r="A11" s="18"/>
      <c r="B11" s="50" t="s">
        <v>1</v>
      </c>
      <c r="C11" s="50" t="s">
        <v>65</v>
      </c>
      <c r="D11" s="51"/>
      <c r="E11" s="18"/>
      <c r="F11" s="18"/>
      <c r="J11" s="18"/>
      <c r="K11" s="9"/>
    </row>
    <row r="12" spans="1:15" s="8" customFormat="1" ht="21" customHeight="1">
      <c r="A12" s="9"/>
      <c r="B12" s="8" t="s">
        <v>100</v>
      </c>
      <c r="C12" t="s">
        <v>3</v>
      </c>
      <c r="D12" s="9"/>
      <c r="E12" s="9"/>
      <c r="F12" s="9"/>
      <c r="J12" s="9"/>
      <c r="K12" s="9"/>
      <c r="L12" s="18"/>
      <c r="M12" s="18"/>
      <c r="N12" s="18"/>
      <c r="O12" s="18"/>
    </row>
    <row r="13" spans="1:15" s="17" customFormat="1" ht="21" customHeight="1">
      <c r="A13" s="19" t="s">
        <v>34</v>
      </c>
      <c r="D13" s="18"/>
      <c r="E13" s="18"/>
      <c r="F13" s="18"/>
      <c r="J13" s="18"/>
      <c r="K13" s="9"/>
      <c r="L13" s="8"/>
      <c r="N13" s="18"/>
      <c r="O13" s="18"/>
    </row>
    <row r="14" spans="1:15" s="17" customFormat="1" ht="21" customHeight="1">
      <c r="A14" s="18"/>
      <c r="D14" s="18"/>
      <c r="E14" s="18"/>
      <c r="F14" s="18"/>
      <c r="J14" s="18"/>
      <c r="K14" s="9"/>
      <c r="L14" s="8"/>
      <c r="N14" s="18"/>
      <c r="O14" s="18"/>
    </row>
    <row r="15" spans="1:15" s="17" customFormat="1" ht="21" customHeight="1">
      <c r="A15" s="121" t="s">
        <v>21</v>
      </c>
      <c r="B15" s="123" t="s">
        <v>20</v>
      </c>
      <c r="C15" s="121" t="s">
        <v>19</v>
      </c>
      <c r="D15" s="121" t="s">
        <v>17</v>
      </c>
      <c r="E15" s="125" t="s">
        <v>37</v>
      </c>
      <c r="F15" s="127" t="s">
        <v>38</v>
      </c>
      <c r="G15" s="129" t="s">
        <v>37</v>
      </c>
      <c r="H15" s="147" t="s">
        <v>36</v>
      </c>
      <c r="I15" s="39"/>
      <c r="J15" s="40"/>
      <c r="K15" s="120"/>
    </row>
    <row r="16" spans="1:15" s="17" customFormat="1" ht="21" customHeight="1">
      <c r="A16" s="121"/>
      <c r="B16" s="124"/>
      <c r="C16" s="121"/>
      <c r="D16" s="121"/>
      <c r="E16" s="126"/>
      <c r="F16" s="128"/>
      <c r="G16" s="146"/>
      <c r="H16" s="148"/>
      <c r="I16" s="39"/>
      <c r="J16" s="40"/>
      <c r="K16" s="120"/>
    </row>
    <row r="17" spans="1:15" s="17" customFormat="1" ht="21" customHeight="1">
      <c r="A17" s="42">
        <v>1</v>
      </c>
      <c r="B17" s="52" t="s">
        <v>7</v>
      </c>
      <c r="C17" s="53" t="s">
        <v>1</v>
      </c>
      <c r="D17" s="49">
        <v>2</v>
      </c>
      <c r="E17" s="23">
        <f>D17*N8*(I44+J44)</f>
        <v>832800</v>
      </c>
      <c r="F17" s="10">
        <v>50</v>
      </c>
      <c r="G17" s="47">
        <f>E17</f>
        <v>832800</v>
      </c>
      <c r="H17" s="47">
        <f>G17*0.00328/F17</f>
        <v>54.631679999999996</v>
      </c>
      <c r="K17" s="95" t="s">
        <v>106</v>
      </c>
      <c r="L17" s="8"/>
    </row>
    <row r="18" spans="1:15" s="17" customFormat="1" ht="21" customHeight="1">
      <c r="A18" s="12">
        <v>2</v>
      </c>
      <c r="B18" s="24" t="s">
        <v>35</v>
      </c>
      <c r="C18" s="24"/>
      <c r="D18" s="12"/>
      <c r="E18" s="12"/>
      <c r="F18" s="12"/>
      <c r="G18" s="24"/>
      <c r="H18" s="24"/>
      <c r="J18" s="18"/>
      <c r="K18" s="95"/>
      <c r="L18" s="8"/>
      <c r="N18" s="18"/>
      <c r="O18" s="18"/>
    </row>
    <row r="19" spans="1:15" s="17" customFormat="1" ht="21" customHeight="1">
      <c r="A19" s="12">
        <v>3</v>
      </c>
      <c r="B19" s="24" t="s">
        <v>44</v>
      </c>
      <c r="C19" s="24"/>
      <c r="D19" s="12" t="s">
        <v>63</v>
      </c>
      <c r="E19" s="12"/>
      <c r="F19" s="12"/>
      <c r="G19" s="24"/>
      <c r="H19" s="24"/>
      <c r="J19" s="18"/>
      <c r="K19" s="55"/>
      <c r="L19" s="8"/>
      <c r="N19" s="18"/>
      <c r="O19" s="18"/>
    </row>
    <row r="20" spans="1:15" s="17" customFormat="1" ht="21" customHeight="1">
      <c r="A20" s="12">
        <v>4</v>
      </c>
      <c r="B20" s="24" t="s">
        <v>78</v>
      </c>
      <c r="C20" s="24"/>
      <c r="D20" s="12" t="s">
        <v>79</v>
      </c>
      <c r="E20" s="12"/>
      <c r="F20" s="12"/>
      <c r="G20" s="24"/>
      <c r="H20" s="24"/>
      <c r="J20" s="18"/>
      <c r="K20" s="55"/>
      <c r="L20" s="8"/>
      <c r="N20" s="18"/>
      <c r="O20" s="18"/>
    </row>
    <row r="21" spans="1:15" s="17" customFormat="1" ht="21" customHeight="1">
      <c r="A21" s="12">
        <v>5</v>
      </c>
      <c r="B21" s="54" t="s">
        <v>9</v>
      </c>
      <c r="C21" s="49" t="s">
        <v>11</v>
      </c>
      <c r="D21" s="12">
        <f>N8</f>
        <v>2000</v>
      </c>
      <c r="E21" s="12"/>
      <c r="F21" s="12"/>
      <c r="G21" s="24"/>
      <c r="H21" s="24"/>
      <c r="J21" s="18"/>
      <c r="K21" s="55"/>
      <c r="L21" s="8"/>
      <c r="N21" s="18"/>
      <c r="O21" s="18"/>
    </row>
    <row r="22" spans="1:15" s="17" customFormat="1" ht="21" customHeight="1">
      <c r="A22" s="12">
        <v>6</v>
      </c>
      <c r="B22" s="24" t="s">
        <v>14</v>
      </c>
      <c r="C22" s="12" t="s">
        <v>15</v>
      </c>
      <c r="D22" s="12">
        <f>N8</f>
        <v>2000</v>
      </c>
      <c r="E22" s="12"/>
      <c r="F22" s="12"/>
      <c r="G22" s="24"/>
      <c r="H22" s="24"/>
      <c r="J22" s="18"/>
      <c r="K22" s="55"/>
      <c r="L22" s="8"/>
      <c r="N22" s="18"/>
      <c r="O22" s="18"/>
    </row>
    <row r="23" spans="1:15" s="17" customFormat="1" ht="21" customHeight="1">
      <c r="A23" s="12">
        <v>7</v>
      </c>
      <c r="B23" s="24" t="s">
        <v>31</v>
      </c>
      <c r="C23" s="12" t="s">
        <v>66</v>
      </c>
      <c r="D23" s="12" t="s">
        <v>87</v>
      </c>
      <c r="E23" s="12"/>
      <c r="F23" s="12"/>
      <c r="G23" s="24"/>
      <c r="H23" s="24"/>
      <c r="J23" s="18"/>
      <c r="K23" s="55"/>
      <c r="L23" s="8"/>
      <c r="N23" s="18"/>
      <c r="O23" s="18"/>
    </row>
    <row r="24" spans="1:15" s="17" customFormat="1" ht="21" customHeight="1">
      <c r="A24" s="12">
        <v>8</v>
      </c>
      <c r="B24" s="24" t="s">
        <v>86</v>
      </c>
      <c r="C24" s="24"/>
      <c r="D24" s="12"/>
      <c r="E24" s="12"/>
      <c r="F24" s="12"/>
      <c r="G24" s="24"/>
      <c r="H24" s="24"/>
      <c r="J24" s="18"/>
      <c r="K24" s="55"/>
      <c r="L24" s="56"/>
      <c r="M24" s="57"/>
    </row>
    <row r="25" spans="1:15" s="17" customFormat="1" ht="21" customHeight="1">
      <c r="A25" s="18"/>
      <c r="D25" s="18"/>
      <c r="E25" s="18"/>
      <c r="F25" s="18"/>
      <c r="J25" s="18"/>
      <c r="K25" s="18"/>
      <c r="N25" s="18"/>
      <c r="O25" s="18"/>
    </row>
    <row r="26" spans="1:15" s="17" customFormat="1" ht="21" customHeight="1">
      <c r="A26" s="3" t="s">
        <v>85</v>
      </c>
      <c r="D26" s="18"/>
      <c r="E26" s="18"/>
      <c r="F26" s="18"/>
      <c r="I26" s="50" t="s">
        <v>94</v>
      </c>
      <c r="J26" s="51"/>
      <c r="K26" s="50"/>
      <c r="L26" s="50"/>
      <c r="M26" s="51"/>
      <c r="N26" s="50"/>
    </row>
    <row r="27" spans="1:15" s="17" customFormat="1" ht="21" customHeight="1">
      <c r="A27" s="18"/>
      <c r="D27" s="18"/>
      <c r="E27" s="18"/>
      <c r="F27" s="18"/>
      <c r="J27" s="18"/>
      <c r="K27" s="18"/>
      <c r="N27" s="18"/>
      <c r="O27" s="18"/>
    </row>
    <row r="28" spans="1:15" s="17" customFormat="1" ht="21" customHeight="1">
      <c r="A28" s="121" t="s">
        <v>21</v>
      </c>
      <c r="B28" s="121" t="s">
        <v>20</v>
      </c>
      <c r="C28" s="121" t="s">
        <v>19</v>
      </c>
      <c r="D28" s="121" t="s">
        <v>17</v>
      </c>
      <c r="E28" s="122" t="s">
        <v>18</v>
      </c>
      <c r="F28" s="122" t="s">
        <v>88</v>
      </c>
      <c r="G28" s="129" t="s">
        <v>89</v>
      </c>
      <c r="H28" s="129"/>
      <c r="I28" s="129"/>
      <c r="J28" s="162"/>
      <c r="K28" s="129" t="s">
        <v>90</v>
      </c>
      <c r="L28" s="129"/>
      <c r="M28" s="129"/>
      <c r="N28" s="129" t="s">
        <v>84</v>
      </c>
      <c r="O28" s="8"/>
    </row>
    <row r="29" spans="1:15" s="17" customFormat="1" ht="21" customHeight="1">
      <c r="A29" s="121"/>
      <c r="B29" s="121"/>
      <c r="C29" s="121"/>
      <c r="D29" s="121"/>
      <c r="E29" s="122"/>
      <c r="F29" s="122"/>
      <c r="G29" s="7" t="s">
        <v>91</v>
      </c>
      <c r="H29" s="7" t="s">
        <v>92</v>
      </c>
      <c r="I29" s="7" t="s">
        <v>93</v>
      </c>
      <c r="J29" s="58" t="s">
        <v>84</v>
      </c>
      <c r="K29" s="6" t="s">
        <v>30</v>
      </c>
      <c r="L29" s="7" t="s">
        <v>27</v>
      </c>
      <c r="M29" s="7" t="s">
        <v>28</v>
      </c>
      <c r="N29" s="129"/>
      <c r="O29" s="8"/>
    </row>
    <row r="30" spans="1:15" s="17" customFormat="1" ht="21" customHeight="1">
      <c r="A30" s="130">
        <v>4.5</v>
      </c>
      <c r="B30" s="150" t="s">
        <v>51</v>
      </c>
      <c r="C30" s="153" t="s">
        <v>62</v>
      </c>
      <c r="D30" s="156">
        <v>2</v>
      </c>
      <c r="E30" s="25">
        <f>N8*D30</f>
        <v>4000</v>
      </c>
      <c r="F30" s="159">
        <f>N8*D30</f>
        <v>4000</v>
      </c>
      <c r="G30" s="59"/>
      <c r="H30" s="59"/>
      <c r="I30" s="59"/>
      <c r="J30" s="60"/>
      <c r="K30" s="149" t="s">
        <v>76</v>
      </c>
      <c r="L30" s="10"/>
      <c r="M30" s="24"/>
      <c r="N30" s="24"/>
      <c r="O30" s="8"/>
    </row>
    <row r="31" spans="1:15" s="17" customFormat="1" ht="21" customHeight="1">
      <c r="A31" s="131"/>
      <c r="B31" s="151"/>
      <c r="C31" s="154"/>
      <c r="D31" s="157"/>
      <c r="E31" s="25"/>
      <c r="F31" s="160"/>
      <c r="G31" s="59"/>
      <c r="H31" s="59"/>
      <c r="I31" s="59"/>
      <c r="J31" s="60"/>
      <c r="K31" s="149"/>
      <c r="L31" s="12"/>
      <c r="M31" s="24"/>
      <c r="N31" s="24"/>
      <c r="O31" s="8"/>
    </row>
    <row r="32" spans="1:15" s="17" customFormat="1" ht="21" customHeight="1">
      <c r="A32" s="131"/>
      <c r="B32" s="151"/>
      <c r="C32" s="154"/>
      <c r="D32" s="157"/>
      <c r="E32" s="25"/>
      <c r="F32" s="160"/>
      <c r="G32" s="59"/>
      <c r="H32" s="59"/>
      <c r="I32" s="59"/>
      <c r="J32" s="60"/>
      <c r="K32" s="149"/>
      <c r="L32" s="24"/>
      <c r="M32" s="24"/>
      <c r="N32" s="24"/>
      <c r="O32" s="8"/>
    </row>
    <row r="33" spans="1:15" s="17" customFormat="1" ht="21" customHeight="1">
      <c r="A33" s="131"/>
      <c r="B33" s="151"/>
      <c r="C33" s="154"/>
      <c r="D33" s="157"/>
      <c r="E33" s="25"/>
      <c r="F33" s="160"/>
      <c r="G33" s="59"/>
      <c r="H33" s="59"/>
      <c r="I33" s="59"/>
      <c r="J33" s="60"/>
      <c r="K33" s="149"/>
      <c r="L33" s="24"/>
      <c r="M33" s="24"/>
      <c r="N33" s="24"/>
      <c r="O33" s="8"/>
    </row>
    <row r="34" spans="1:15" s="17" customFormat="1" ht="21" customHeight="1">
      <c r="A34" s="131"/>
      <c r="B34" s="151"/>
      <c r="C34" s="154"/>
      <c r="D34" s="157"/>
      <c r="E34" s="25"/>
      <c r="F34" s="160"/>
      <c r="G34" s="59"/>
      <c r="H34" s="59"/>
      <c r="I34" s="59"/>
      <c r="J34" s="60"/>
      <c r="K34" s="149"/>
      <c r="L34" s="24"/>
      <c r="M34" s="24"/>
      <c r="N34" s="24"/>
      <c r="O34" s="8"/>
    </row>
    <row r="35" spans="1:15" s="17" customFormat="1" ht="21" customHeight="1">
      <c r="A35" s="131"/>
      <c r="B35" s="151"/>
      <c r="C35" s="154"/>
      <c r="D35" s="157"/>
      <c r="E35" s="25"/>
      <c r="F35" s="160"/>
      <c r="G35" s="59"/>
      <c r="H35" s="59"/>
      <c r="I35" s="59"/>
      <c r="J35" s="60"/>
      <c r="K35" s="149"/>
      <c r="L35" s="24"/>
      <c r="M35" s="24"/>
      <c r="N35" s="24"/>
      <c r="O35" s="8"/>
    </row>
    <row r="36" spans="1:15" s="17" customFormat="1" ht="21" customHeight="1">
      <c r="A36" s="131"/>
      <c r="B36" s="151"/>
      <c r="C36" s="154"/>
      <c r="D36" s="157"/>
      <c r="E36" s="25"/>
      <c r="F36" s="160"/>
      <c r="G36" s="59"/>
      <c r="H36" s="59"/>
      <c r="I36" s="59"/>
      <c r="J36" s="60"/>
      <c r="K36" s="149"/>
      <c r="L36" s="24"/>
      <c r="M36" s="24"/>
      <c r="N36" s="24"/>
      <c r="O36" s="8"/>
    </row>
    <row r="37" spans="1:15" s="17" customFormat="1" ht="21" customHeight="1">
      <c r="A37" s="132"/>
      <c r="B37" s="152"/>
      <c r="C37" s="155"/>
      <c r="D37" s="158"/>
      <c r="E37" s="25"/>
      <c r="F37" s="161"/>
      <c r="G37" s="59"/>
      <c r="H37" s="59"/>
      <c r="I37" s="59"/>
      <c r="J37" s="60"/>
      <c r="K37" s="149"/>
      <c r="L37" s="24"/>
      <c r="M37" s="24"/>
      <c r="N37" s="24"/>
      <c r="O37" s="8"/>
    </row>
    <row r="38" spans="1:15" s="17" customFormat="1" ht="21" customHeight="1">
      <c r="A38" s="18"/>
      <c r="C38" s="18"/>
      <c r="D38" s="18"/>
      <c r="E38" s="18"/>
      <c r="F38" s="26"/>
      <c r="I38" s="18"/>
      <c r="J38" s="18"/>
      <c r="M38" s="18"/>
      <c r="N38" s="18"/>
    </row>
    <row r="39" spans="1:15" s="17" customFormat="1" ht="21" hidden="1" customHeight="1">
      <c r="A39" s="19" t="s">
        <v>32</v>
      </c>
      <c r="D39" s="18"/>
      <c r="E39" s="18"/>
      <c r="F39" s="18"/>
      <c r="J39" s="18"/>
      <c r="K39" s="18"/>
      <c r="N39" s="18"/>
      <c r="O39" s="18"/>
    </row>
    <row r="40" spans="1:15" s="17" customFormat="1" ht="21" hidden="1" customHeight="1">
      <c r="A40" s="18"/>
      <c r="D40" s="18"/>
      <c r="E40" s="18"/>
      <c r="F40" s="18"/>
      <c r="J40" s="18"/>
      <c r="K40" s="18"/>
      <c r="N40" s="18"/>
      <c r="O40" s="18"/>
    </row>
    <row r="41" spans="1:15" s="16" customFormat="1" ht="21" hidden="1" customHeight="1">
      <c r="A41" s="111" t="s">
        <v>21</v>
      </c>
      <c r="B41" s="111" t="s">
        <v>22</v>
      </c>
      <c r="C41" s="111" t="s">
        <v>23</v>
      </c>
      <c r="D41" s="143" t="s">
        <v>23</v>
      </c>
      <c r="E41" s="27"/>
      <c r="F41" s="111" t="s">
        <v>24</v>
      </c>
      <c r="G41" s="111" t="s">
        <v>19</v>
      </c>
      <c r="H41" s="140" t="s">
        <v>33</v>
      </c>
      <c r="I41" s="140" t="s">
        <v>29</v>
      </c>
      <c r="J41" s="140" t="s">
        <v>30</v>
      </c>
      <c r="K41" s="140" t="s">
        <v>39</v>
      </c>
      <c r="L41" s="133" t="s">
        <v>25</v>
      </c>
      <c r="M41" s="134"/>
      <c r="N41" s="137" t="s">
        <v>26</v>
      </c>
      <c r="O41" s="137"/>
    </row>
    <row r="42" spans="1:15" s="16" customFormat="1" ht="21" hidden="1" customHeight="1">
      <c r="A42" s="138"/>
      <c r="B42" s="138"/>
      <c r="C42" s="138"/>
      <c r="D42" s="144"/>
      <c r="F42" s="138"/>
      <c r="G42" s="138"/>
      <c r="H42" s="141"/>
      <c r="I42" s="141"/>
      <c r="J42" s="141"/>
      <c r="K42" s="141"/>
      <c r="L42" s="135"/>
      <c r="M42" s="136"/>
      <c r="N42" s="137"/>
      <c r="O42" s="137"/>
    </row>
    <row r="43" spans="1:15" s="16" customFormat="1" ht="21" hidden="1" customHeight="1">
      <c r="A43" s="139"/>
      <c r="B43" s="139"/>
      <c r="C43" s="139"/>
      <c r="D43" s="145"/>
      <c r="E43" s="29"/>
      <c r="F43" s="139"/>
      <c r="G43" s="139"/>
      <c r="H43" s="142"/>
      <c r="I43" s="142"/>
      <c r="J43" s="142"/>
      <c r="K43" s="142"/>
      <c r="L43" s="28" t="s">
        <v>27</v>
      </c>
      <c r="M43" s="20" t="s">
        <v>28</v>
      </c>
      <c r="N43" s="14" t="s">
        <v>27</v>
      </c>
      <c r="O43" s="15" t="s">
        <v>28</v>
      </c>
    </row>
    <row r="44" spans="1:15" s="33" customFormat="1" ht="21" hidden="1" customHeight="1">
      <c r="A44" s="42">
        <v>1</v>
      </c>
      <c r="B44" s="30" t="s">
        <v>50</v>
      </c>
      <c r="C44" s="30" t="s">
        <v>51</v>
      </c>
      <c r="D44" s="43" t="s">
        <v>57</v>
      </c>
      <c r="E44" s="43" t="s">
        <v>49</v>
      </c>
      <c r="F44" s="10" t="s">
        <v>13</v>
      </c>
      <c r="G44" s="22" t="s">
        <v>1</v>
      </c>
      <c r="H44" s="31" t="s">
        <v>48</v>
      </c>
      <c r="I44" s="44">
        <v>203.2</v>
      </c>
      <c r="J44" s="45" t="s">
        <v>2</v>
      </c>
      <c r="K44" s="46" t="s">
        <v>76</v>
      </c>
      <c r="L44" s="31"/>
      <c r="M44" s="31"/>
      <c r="N44" s="31"/>
      <c r="O44" s="31"/>
    </row>
    <row r="45" spans="1:15" s="33" customFormat="1" ht="21" hidden="1" customHeight="1">
      <c r="A45" s="10">
        <v>2</v>
      </c>
      <c r="B45" s="34" t="s">
        <v>50</v>
      </c>
      <c r="C45" s="31"/>
      <c r="D45" s="34" t="s">
        <v>50</v>
      </c>
      <c r="E45" s="10"/>
      <c r="F45" s="10" t="s">
        <v>46</v>
      </c>
      <c r="G45" s="31"/>
      <c r="H45" s="10" t="s">
        <v>45</v>
      </c>
      <c r="I45" s="31"/>
      <c r="J45" s="10"/>
      <c r="K45" s="10"/>
      <c r="L45" s="31"/>
      <c r="M45" s="31"/>
      <c r="N45" s="10"/>
      <c r="O45" s="10"/>
    </row>
    <row r="46" spans="1:15" s="33" customFormat="1" ht="21" hidden="1" customHeight="1">
      <c r="A46" s="11"/>
      <c r="D46" s="11"/>
      <c r="E46" s="11"/>
      <c r="F46" s="11"/>
      <c r="H46" s="11"/>
      <c r="J46" s="11"/>
      <c r="K46" s="11"/>
    </row>
    <row r="47" spans="1:15" s="33" customFormat="1" ht="21" hidden="1" customHeight="1">
      <c r="A47" s="11"/>
      <c r="D47" s="11"/>
      <c r="E47" s="11"/>
      <c r="F47" s="11"/>
      <c r="I47" s="33" t="s">
        <v>3</v>
      </c>
      <c r="J47" s="11"/>
    </row>
    <row r="48" spans="1:15" s="33" customFormat="1" ht="21" hidden="1" customHeight="1">
      <c r="A48" s="11"/>
      <c r="D48" s="11"/>
      <c r="E48" s="11"/>
      <c r="F48" s="11"/>
      <c r="I48" s="33" t="s">
        <v>3</v>
      </c>
      <c r="J48" s="11"/>
      <c r="K48" s="11"/>
      <c r="N48" s="11"/>
      <c r="O48" s="11"/>
    </row>
    <row r="49" spans="1:15" s="33" customFormat="1" ht="21" hidden="1" customHeight="1">
      <c r="A49" s="11"/>
      <c r="B49" s="35" t="s">
        <v>3</v>
      </c>
      <c r="K49" s="33" t="s">
        <v>43</v>
      </c>
      <c r="M49" s="36"/>
      <c r="N49" s="37"/>
      <c r="O49" s="37"/>
    </row>
    <row r="50" spans="1:15" s="33" customFormat="1" ht="21" customHeight="1">
      <c r="A50" s="38"/>
      <c r="B50" s="35"/>
      <c r="C50" s="13"/>
      <c r="D50" s="13"/>
    </row>
    <row r="51" spans="1:15" s="33" customFormat="1" ht="21" customHeight="1">
      <c r="A51" s="11"/>
      <c r="B51" s="35"/>
      <c r="C51" s="13"/>
      <c r="D51" s="13"/>
      <c r="E51" s="11"/>
      <c r="F51" s="11"/>
      <c r="J51" s="11"/>
      <c r="K51" s="11"/>
      <c r="N51" s="11"/>
      <c r="O51" s="11"/>
    </row>
    <row r="52" spans="1:15" s="33" customFormat="1" ht="21" customHeight="1">
      <c r="A52" s="11"/>
      <c r="B52" s="35"/>
      <c r="C52" s="13"/>
      <c r="D52" s="13"/>
      <c r="E52" s="11"/>
      <c r="F52" s="11"/>
      <c r="J52" s="11"/>
      <c r="K52" s="11"/>
      <c r="N52" s="11"/>
      <c r="O52" s="11"/>
    </row>
    <row r="53" spans="1:15" s="33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17" customFormat="1" ht="21" customHeight="1">
      <c r="A54" s="18"/>
      <c r="D54" s="18"/>
      <c r="E54" s="18"/>
      <c r="F54" s="18"/>
      <c r="J54" s="18"/>
      <c r="K54" s="18"/>
      <c r="N54" s="18"/>
      <c r="O54" s="18"/>
    </row>
    <row r="55" spans="1:15" s="17" customFormat="1" ht="21" customHeight="1">
      <c r="A55" s="18"/>
      <c r="D55" s="18"/>
      <c r="E55" s="18"/>
      <c r="F55" s="18"/>
      <c r="J55" s="18"/>
      <c r="K55" s="18"/>
      <c r="N55" s="18"/>
      <c r="O55" s="18"/>
    </row>
    <row r="56" spans="1:15" s="17" customFormat="1" ht="21" customHeight="1">
      <c r="A56" s="18"/>
      <c r="D56" s="18"/>
      <c r="E56" s="18"/>
      <c r="F56" s="18"/>
      <c r="J56" s="18"/>
      <c r="K56" s="18"/>
      <c r="N56" s="18"/>
      <c r="O56" s="18"/>
    </row>
    <row r="57" spans="1:15" s="17" customFormat="1" ht="21" customHeight="1">
      <c r="A57" s="18"/>
      <c r="D57" s="18"/>
      <c r="E57" s="18"/>
      <c r="F57" s="18"/>
      <c r="J57" s="18"/>
      <c r="K57" s="18"/>
      <c r="N57" s="18"/>
      <c r="O57" s="18"/>
    </row>
    <row r="58" spans="1:15" s="17" customFormat="1" ht="21" customHeight="1">
      <c r="A58" s="18"/>
      <c r="D58" s="18"/>
      <c r="E58" s="18"/>
      <c r="F58" s="18"/>
      <c r="J58" s="18"/>
      <c r="K58" s="18"/>
      <c r="N58" s="18"/>
      <c r="O58" s="18"/>
    </row>
    <row r="59" spans="1:15" s="17" customFormat="1" ht="21" customHeight="1">
      <c r="A59" s="18"/>
      <c r="D59" s="18"/>
      <c r="E59" s="18"/>
      <c r="F59" s="18"/>
      <c r="J59" s="18"/>
      <c r="K59" s="18"/>
      <c r="N59" s="18"/>
      <c r="O59" s="18"/>
    </row>
    <row r="60" spans="1:15" s="17" customFormat="1" ht="21" customHeight="1">
      <c r="A60" s="18"/>
      <c r="D60" s="18"/>
      <c r="E60" s="18"/>
      <c r="F60" s="18"/>
      <c r="J60" s="18"/>
      <c r="K60" s="18"/>
      <c r="N60" s="18"/>
      <c r="O60" s="18"/>
    </row>
    <row r="61" spans="1:15" s="17" customFormat="1" ht="21" customHeight="1">
      <c r="A61" s="18"/>
      <c r="D61" s="18"/>
      <c r="E61" s="18"/>
      <c r="F61" s="18"/>
      <c r="J61" s="18"/>
      <c r="K61" s="18"/>
      <c r="N61" s="18"/>
      <c r="O61" s="18"/>
    </row>
    <row r="62" spans="1:15" s="17" customFormat="1" ht="21" customHeight="1">
      <c r="A62" s="18"/>
      <c r="D62" s="18"/>
      <c r="E62" s="18"/>
      <c r="F62" s="18"/>
      <c r="J62" s="18"/>
      <c r="K62" s="18"/>
      <c r="N62" s="18"/>
      <c r="O62" s="18"/>
    </row>
    <row r="63" spans="1:15" s="17" customFormat="1" ht="21" customHeight="1">
      <c r="A63" s="18"/>
      <c r="D63" s="18"/>
      <c r="E63" s="18"/>
      <c r="F63" s="18"/>
      <c r="J63" s="18"/>
      <c r="K63" s="18"/>
      <c r="N63" s="18"/>
      <c r="O63" s="18"/>
    </row>
    <row r="64" spans="1:15" s="17" customFormat="1" ht="21" customHeight="1">
      <c r="A64" s="18"/>
      <c r="D64" s="18"/>
      <c r="E64" s="18"/>
      <c r="F64" s="18"/>
      <c r="J64" s="18"/>
      <c r="K64" s="18"/>
      <c r="N64" s="18"/>
      <c r="O64" s="18"/>
    </row>
    <row r="65" spans="1:15" s="17" customFormat="1" ht="21" customHeight="1">
      <c r="A65" s="18"/>
      <c r="D65" s="18"/>
      <c r="E65" s="18"/>
      <c r="F65" s="18"/>
      <c r="J65" s="18"/>
      <c r="K65" s="18"/>
      <c r="N65" s="18"/>
      <c r="O65" s="18"/>
    </row>
    <row r="66" spans="1:15" s="17" customFormat="1" ht="21" customHeight="1">
      <c r="A66" s="18"/>
      <c r="D66" s="18"/>
      <c r="E66" s="18"/>
      <c r="F66" s="18"/>
      <c r="J66" s="18"/>
      <c r="K66" s="18"/>
      <c r="N66" s="18"/>
      <c r="O66" s="18"/>
    </row>
    <row r="67" spans="1:15" s="17" customFormat="1" ht="21" customHeight="1">
      <c r="A67" s="18"/>
      <c r="D67" s="18"/>
      <c r="E67" s="18"/>
      <c r="F67" s="18"/>
      <c r="J67" s="18"/>
      <c r="K67" s="18"/>
      <c r="N67" s="18"/>
      <c r="O67" s="18"/>
    </row>
    <row r="68" spans="1:15" s="17" customFormat="1" ht="21" customHeight="1">
      <c r="A68" s="18"/>
      <c r="D68" s="18"/>
      <c r="E68" s="18"/>
      <c r="F68" s="18"/>
      <c r="J68" s="18"/>
      <c r="K68" s="18"/>
      <c r="N68" s="18"/>
      <c r="O68" s="18"/>
    </row>
    <row r="69" spans="1:15" s="17" customFormat="1" ht="21" customHeight="1">
      <c r="A69" s="18"/>
      <c r="D69" s="18"/>
      <c r="E69" s="18"/>
      <c r="F69" s="18"/>
      <c r="J69" s="18"/>
      <c r="K69" s="18"/>
      <c r="N69" s="18"/>
      <c r="O69" s="18"/>
    </row>
  </sheetData>
  <mergeCells count="38">
    <mergeCell ref="A1:N5"/>
    <mergeCell ref="K17:K18"/>
    <mergeCell ref="N28:N29"/>
    <mergeCell ref="K30:K37"/>
    <mergeCell ref="B30:B37"/>
    <mergeCell ref="C30:C37"/>
    <mergeCell ref="D30:D37"/>
    <mergeCell ref="F30:F37"/>
    <mergeCell ref="G15:G16"/>
    <mergeCell ref="H15:H16"/>
    <mergeCell ref="K15:K16"/>
    <mergeCell ref="F28:F29"/>
    <mergeCell ref="F15:F16"/>
    <mergeCell ref="G28:J28"/>
    <mergeCell ref="K28:M28"/>
    <mergeCell ref="A28:A29"/>
    <mergeCell ref="B28:B29"/>
    <mergeCell ref="C28:C29"/>
    <mergeCell ref="D28:D29"/>
    <mergeCell ref="E28:E29"/>
    <mergeCell ref="A15:A16"/>
    <mergeCell ref="B15:B16"/>
    <mergeCell ref="C15:C16"/>
    <mergeCell ref="D15:D16"/>
    <mergeCell ref="E15:E16"/>
    <mergeCell ref="A30:A37"/>
    <mergeCell ref="L41:M42"/>
    <mergeCell ref="N41:O42"/>
    <mergeCell ref="G41:G43"/>
    <mergeCell ref="H41:H43"/>
    <mergeCell ref="I41:I43"/>
    <mergeCell ref="J41:J43"/>
    <mergeCell ref="K41:K43"/>
    <mergeCell ref="A41:A43"/>
    <mergeCell ref="B41:B43"/>
    <mergeCell ref="C41:C43"/>
    <mergeCell ref="D41:D43"/>
    <mergeCell ref="F41:F43"/>
  </mergeCells>
  <pageMargins left="0.11811023622047245" right="0.11811023622047245" top="0.15748031496062992" bottom="0" header="0.31496062992125984" footer="0.31496062992125984"/>
  <pageSetup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4587-41D9-4325-A8BE-D93D41748443}">
  <dimension ref="A1:Z83"/>
  <sheetViews>
    <sheetView tabSelected="1" workbookViewId="0">
      <selection activeCell="G7" sqref="G7"/>
    </sheetView>
  </sheetViews>
  <sheetFormatPr defaultRowHeight="14.25"/>
  <cols>
    <col min="1" max="1" width="15.6640625" style="78" customWidth="1"/>
    <col min="2" max="2" width="54" customWidth="1"/>
    <col min="3" max="20" width="3.19921875" customWidth="1"/>
    <col min="21" max="26" width="5.46484375" customWidth="1"/>
    <col min="28" max="28" width="15.3984375" customWidth="1"/>
  </cols>
  <sheetData>
    <row r="1" spans="1:26" ht="15" customHeight="1">
      <c r="A1" s="94" t="s">
        <v>101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65"/>
      <c r="X1" s="65"/>
      <c r="Y1" s="65"/>
      <c r="Z1" s="65"/>
    </row>
    <row r="2" spans="1:26" ht="1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65"/>
      <c r="X2" s="65"/>
      <c r="Y2" s="65"/>
      <c r="Z2" s="65"/>
    </row>
    <row r="3" spans="1:26" ht="1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65"/>
      <c r="X3" s="65"/>
      <c r="Y3" s="65"/>
      <c r="Z3" s="65"/>
    </row>
    <row r="4" spans="1:26" ht="1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65"/>
      <c r="X4" s="65"/>
      <c r="Y4" s="65"/>
      <c r="Z4" s="65"/>
    </row>
    <row r="5" spans="1:26" ht="15" customHeight="1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65"/>
      <c r="X5" s="65"/>
      <c r="Y5" s="65"/>
      <c r="Z5" s="65"/>
    </row>
    <row r="6" spans="1:26" ht="29.65">
      <c r="A6" s="212" t="s">
        <v>120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</row>
    <row r="7" spans="1:26" s="8" customFormat="1" ht="26.25" customHeight="1">
      <c r="A7" s="213" t="s">
        <v>120</v>
      </c>
      <c r="B7" s="213"/>
      <c r="C7" s="57" t="s">
        <v>103</v>
      </c>
      <c r="E7" s="18"/>
      <c r="F7" s="18" t="s">
        <v>3</v>
      </c>
      <c r="G7" s="18" t="str">
        <f>'ใบงาน Agilent_JOB 4.1'!F7</f>
        <v>xxx</v>
      </c>
      <c r="H7" s="18"/>
      <c r="I7" s="18"/>
      <c r="J7" s="18"/>
      <c r="L7" s="18"/>
      <c r="M7" s="18"/>
      <c r="N7" s="18"/>
      <c r="O7" s="18"/>
      <c r="P7" s="18"/>
      <c r="Q7" s="18"/>
      <c r="R7" s="18"/>
      <c r="S7" s="66" t="s">
        <v>82</v>
      </c>
      <c r="W7" s="87"/>
      <c r="X7" s="118">
        <f>'ใบงาน Agilent_JOB 4.1'!N7</f>
        <v>20260803</v>
      </c>
      <c r="Y7" s="118"/>
      <c r="Z7" s="118"/>
    </row>
    <row r="8" spans="1:26" s="88" customFormat="1" ht="13.5">
      <c r="A8" s="80" t="s">
        <v>104</v>
      </c>
      <c r="B8" s="79" t="str">
        <f>'ใบงาน Agilent_JOB 4.1'!F8</f>
        <v>K9801-60102</v>
      </c>
      <c r="C8" s="79" t="s">
        <v>105</v>
      </c>
      <c r="D8" s="79"/>
      <c r="E8" s="79"/>
      <c r="F8" s="79"/>
      <c r="G8" s="214" t="str">
        <f>'ใบงาน Agilent_JOB 4.1'!F9</f>
        <v>K9801-60086</v>
      </c>
      <c r="H8" s="214"/>
      <c r="I8" s="214"/>
      <c r="J8" s="214"/>
      <c r="K8" s="79"/>
      <c r="L8" s="79"/>
      <c r="M8" s="79"/>
      <c r="N8" s="79"/>
      <c r="O8" s="79"/>
      <c r="P8" s="79"/>
      <c r="Q8" s="79"/>
      <c r="R8" s="79"/>
      <c r="S8" s="79"/>
      <c r="T8" s="79"/>
    </row>
    <row r="9" spans="1:26" s="88" customFormat="1" ht="13.5" customHeight="1">
      <c r="A9" s="215" t="s">
        <v>3</v>
      </c>
      <c r="B9" s="215"/>
      <c r="G9" s="214" t="str">
        <f>'ใบงาน Agilent_JOB 4.2'!F9</f>
        <v>K9801-60087</v>
      </c>
      <c r="H9" s="214"/>
      <c r="I9" s="214"/>
      <c r="J9" s="214"/>
      <c r="L9" s="11"/>
      <c r="M9" s="11"/>
      <c r="N9" s="11"/>
      <c r="O9" s="11"/>
      <c r="P9" s="11"/>
      <c r="Q9" s="11"/>
      <c r="R9" s="11"/>
      <c r="S9" s="216" t="s">
        <v>106</v>
      </c>
      <c r="T9" s="216"/>
      <c r="U9" s="216"/>
      <c r="V9" s="216"/>
    </row>
    <row r="10" spans="1:26" s="88" customFormat="1" ht="13.5" customHeight="1">
      <c r="A10" s="80" t="s">
        <v>121</v>
      </c>
      <c r="B10" s="89">
        <f>'ใบงาน Agilent_JOB 4.1'!N8</f>
        <v>2000</v>
      </c>
      <c r="C10" s="11"/>
      <c r="D10" s="109" t="s">
        <v>3</v>
      </c>
      <c r="E10" s="109"/>
      <c r="F10" s="109"/>
      <c r="G10" s="109" t="str">
        <f>'ใบงาน Agilent_JOB 4.3'!F9</f>
        <v>K9801-60088</v>
      </c>
      <c r="H10" s="109"/>
      <c r="I10" s="109"/>
      <c r="J10" s="109"/>
      <c r="K10" s="38"/>
      <c r="L10" s="11"/>
      <c r="M10" s="11"/>
      <c r="N10" s="11"/>
      <c r="O10" s="11"/>
      <c r="P10" s="11"/>
      <c r="Q10" s="11"/>
      <c r="R10" s="11"/>
      <c r="S10" s="216"/>
      <c r="T10" s="216"/>
      <c r="U10" s="216"/>
      <c r="V10" s="216"/>
    </row>
    <row r="11" spans="1:26" s="88" customFormat="1" ht="13.5">
      <c r="A11" s="11"/>
      <c r="B11" s="33"/>
      <c r="C11" s="11"/>
      <c r="D11" s="11"/>
      <c r="E11" s="11"/>
      <c r="F11" s="11"/>
      <c r="G11" s="109" t="str">
        <f>'ใบงาน Agilent_JOB 4.4'!F9</f>
        <v>K9801-60089</v>
      </c>
      <c r="H11" s="109"/>
      <c r="I11" s="109"/>
      <c r="J11" s="109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6" s="88" customFormat="1" ht="13.5">
      <c r="A12" s="11" t="s">
        <v>100</v>
      </c>
      <c r="B12" s="33"/>
      <c r="C12" s="11"/>
      <c r="D12" s="11"/>
      <c r="E12" s="11"/>
      <c r="F12" s="11"/>
      <c r="G12" s="109" t="str">
        <f>'ใบงาน Agilent_JOB 4.5'!F9</f>
        <v>K9801-60090</v>
      </c>
      <c r="H12" s="109"/>
      <c r="I12" s="109"/>
      <c r="J12" s="109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6" s="8" customFormat="1" ht="13.5">
      <c r="A13" s="18"/>
      <c r="B13" s="17"/>
      <c r="C13" s="18"/>
      <c r="D13" s="18"/>
      <c r="E13" s="18"/>
      <c r="F13" s="18"/>
      <c r="G13" s="5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6" s="8" customFormat="1" ht="13.5">
      <c r="A14" s="110" t="s">
        <v>21</v>
      </c>
      <c r="B14" s="110" t="s">
        <v>109</v>
      </c>
      <c r="C14" s="97" t="s">
        <v>110</v>
      </c>
      <c r="D14" s="112"/>
      <c r="E14" s="112"/>
      <c r="F14" s="112"/>
      <c r="G14" s="112"/>
      <c r="H14" s="113"/>
      <c r="I14" s="97" t="s">
        <v>27</v>
      </c>
      <c r="J14" s="112"/>
      <c r="K14" s="112"/>
      <c r="L14" s="112"/>
      <c r="M14" s="112"/>
      <c r="N14" s="113"/>
      <c r="O14" s="97" t="s">
        <v>28</v>
      </c>
      <c r="P14" s="98"/>
      <c r="Q14" s="98"/>
      <c r="R14" s="98"/>
      <c r="S14" s="98"/>
      <c r="T14" s="99"/>
      <c r="U14" s="103" t="s">
        <v>111</v>
      </c>
      <c r="V14" s="103"/>
      <c r="W14" s="103"/>
      <c r="X14" s="103"/>
      <c r="Y14" s="103"/>
      <c r="Z14" s="103"/>
    </row>
    <row r="15" spans="1:26" s="8" customFormat="1" ht="13.5">
      <c r="A15" s="111"/>
      <c r="B15" s="110"/>
      <c r="C15" s="114"/>
      <c r="D15" s="115"/>
      <c r="E15" s="115"/>
      <c r="F15" s="115"/>
      <c r="G15" s="115"/>
      <c r="H15" s="116"/>
      <c r="I15" s="114"/>
      <c r="J15" s="115"/>
      <c r="K15" s="115"/>
      <c r="L15" s="115"/>
      <c r="M15" s="115"/>
      <c r="N15" s="116"/>
      <c r="O15" s="100"/>
      <c r="P15" s="101"/>
      <c r="Q15" s="101"/>
      <c r="R15" s="101"/>
      <c r="S15" s="101"/>
      <c r="T15" s="102"/>
      <c r="U15" s="103"/>
      <c r="V15" s="103"/>
      <c r="W15" s="103"/>
      <c r="X15" s="103"/>
      <c r="Y15" s="103"/>
      <c r="Z15" s="103"/>
    </row>
    <row r="16" spans="1:26" s="68" customFormat="1" ht="35.65" customHeight="1">
      <c r="A16" s="69">
        <v>1</v>
      </c>
      <c r="B16" s="70" t="s">
        <v>122</v>
      </c>
      <c r="C16" s="96"/>
      <c r="D16" s="96"/>
      <c r="E16" s="96"/>
      <c r="F16" s="96"/>
      <c r="G16" s="96"/>
      <c r="H16" s="96"/>
      <c r="I16" s="96" t="s">
        <v>123</v>
      </c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s="68" customFormat="1" ht="22.5" customHeight="1">
      <c r="A17" s="104">
        <v>2</v>
      </c>
      <c r="B17" s="67" t="s">
        <v>112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s="68" customFormat="1" ht="22.5" customHeight="1">
      <c r="A18" s="105"/>
      <c r="B18" s="67" t="s">
        <v>113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s="68" customFormat="1" ht="22.5" customHeight="1">
      <c r="A19" s="105"/>
      <c r="B19" s="67" t="s">
        <v>114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s="68" customFormat="1" ht="22.5" customHeight="1">
      <c r="A20" s="105"/>
      <c r="B20" s="67" t="s">
        <v>115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s="68" customFormat="1" ht="22.5" customHeight="1">
      <c r="A21" s="106"/>
      <c r="B21" s="67" t="s">
        <v>116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s="68" customFormat="1" ht="22.5" customHeight="1">
      <c r="A22" s="69">
        <v>3</v>
      </c>
      <c r="B22" s="70" t="s">
        <v>117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s="68" customFormat="1" ht="22.5" customHeight="1">
      <c r="A23" s="69">
        <v>4</v>
      </c>
      <c r="B23" s="70" t="s">
        <v>124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s="68" customFormat="1" ht="22.5" customHeight="1">
      <c r="A24" s="69">
        <v>5</v>
      </c>
      <c r="B24" s="70" t="s">
        <v>125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s="68" customFormat="1" ht="20.65" customHeight="1">
      <c r="A25" s="69">
        <v>6</v>
      </c>
      <c r="B25" s="70" t="s">
        <v>126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s="8" customFormat="1" ht="13.5">
      <c r="A26" s="9"/>
      <c r="C26" s="92"/>
      <c r="D26" s="92"/>
      <c r="E26" s="92"/>
      <c r="F26" s="92"/>
    </row>
    <row r="27" spans="1:26" s="8" customFormat="1" ht="15">
      <c r="A27" s="211" t="s">
        <v>127</v>
      </c>
      <c r="B27" s="211"/>
      <c r="C27" s="211"/>
      <c r="D27" s="211"/>
      <c r="E27" s="211"/>
      <c r="F27" s="211"/>
      <c r="G27" s="211"/>
      <c r="H27" s="211"/>
      <c r="I27" s="211"/>
      <c r="J27" s="211"/>
    </row>
    <row r="28" spans="1:26" s="72" customFormat="1" ht="15">
      <c r="A28" s="201" t="s">
        <v>128</v>
      </c>
      <c r="B28" s="202"/>
      <c r="C28" s="207" t="s">
        <v>129</v>
      </c>
      <c r="D28" s="207"/>
      <c r="E28" s="207"/>
      <c r="F28" s="207"/>
      <c r="G28" s="208" t="s">
        <v>130</v>
      </c>
      <c r="H28" s="209"/>
      <c r="I28" s="209"/>
      <c r="J28" s="210"/>
      <c r="L28" s="93" t="s">
        <v>3</v>
      </c>
      <c r="M28" s="93"/>
    </row>
    <row r="29" spans="1:26" s="72" customFormat="1" ht="15">
      <c r="A29" s="201" t="s">
        <v>131</v>
      </c>
      <c r="B29" s="202"/>
      <c r="C29" s="206">
        <v>10</v>
      </c>
      <c r="D29" s="206"/>
      <c r="E29" s="206"/>
      <c r="F29" s="206"/>
      <c r="G29" s="206">
        <v>10</v>
      </c>
      <c r="H29" s="206"/>
      <c r="I29" s="206"/>
      <c r="J29" s="206"/>
      <c r="L29" s="93"/>
      <c r="M29" s="93"/>
    </row>
    <row r="30" spans="1:26" s="72" customFormat="1" ht="15">
      <c r="A30" s="201" t="s">
        <v>132</v>
      </c>
      <c r="B30" s="202"/>
      <c r="C30" s="206">
        <v>20</v>
      </c>
      <c r="D30" s="206"/>
      <c r="E30" s="206"/>
      <c r="F30" s="206"/>
      <c r="G30" s="206">
        <v>20</v>
      </c>
      <c r="H30" s="206"/>
      <c r="I30" s="206"/>
      <c r="J30" s="206"/>
      <c r="L30" s="93"/>
      <c r="M30" s="93"/>
    </row>
    <row r="31" spans="1:26" s="72" customFormat="1" ht="15">
      <c r="A31" s="201" t="s">
        <v>133</v>
      </c>
      <c r="B31" s="202"/>
      <c r="C31" s="206">
        <v>30</v>
      </c>
      <c r="D31" s="206"/>
      <c r="E31" s="206"/>
      <c r="F31" s="206"/>
      <c r="G31" s="206">
        <v>30</v>
      </c>
      <c r="H31" s="206"/>
      <c r="I31" s="206"/>
      <c r="J31" s="206"/>
      <c r="L31" s="93"/>
      <c r="M31" s="93"/>
    </row>
    <row r="32" spans="1:26" s="72" customFormat="1" ht="15">
      <c r="A32" s="201" t="s">
        <v>134</v>
      </c>
      <c r="B32" s="202"/>
      <c r="C32" s="203">
        <v>40</v>
      </c>
      <c r="D32" s="204"/>
      <c r="E32" s="204"/>
      <c r="F32" s="205"/>
      <c r="G32" s="203">
        <v>40</v>
      </c>
      <c r="H32" s="204"/>
      <c r="I32" s="204"/>
      <c r="J32" s="205"/>
      <c r="L32" s="93"/>
      <c r="M32" s="93"/>
    </row>
    <row r="33" spans="1:26" s="72" customFormat="1" ht="15">
      <c r="A33" s="201" t="s">
        <v>135</v>
      </c>
      <c r="B33" s="202"/>
      <c r="C33" s="206">
        <v>50</v>
      </c>
      <c r="D33" s="206"/>
      <c r="E33" s="206"/>
      <c r="F33" s="206"/>
      <c r="G33" s="206">
        <v>50</v>
      </c>
      <c r="H33" s="206"/>
      <c r="I33" s="206"/>
      <c r="J33" s="206"/>
      <c r="L33" s="93"/>
      <c r="M33" s="93"/>
    </row>
    <row r="34" spans="1:26" s="72" customFormat="1" ht="15">
      <c r="A34" s="201" t="s">
        <v>136</v>
      </c>
      <c r="B34" s="202"/>
      <c r="C34" s="206">
        <v>100</v>
      </c>
      <c r="D34" s="206"/>
      <c r="E34" s="206"/>
      <c r="F34" s="206"/>
      <c r="G34" s="206">
        <v>100</v>
      </c>
      <c r="H34" s="206"/>
      <c r="I34" s="206"/>
      <c r="J34" s="206"/>
      <c r="L34" s="93"/>
      <c r="M34" s="93"/>
    </row>
    <row r="35" spans="1:26" s="72" customFormat="1" ht="15">
      <c r="A35" s="201" t="s">
        <v>137</v>
      </c>
      <c r="B35" s="202"/>
      <c r="C35" s="206">
        <v>200</v>
      </c>
      <c r="D35" s="206"/>
      <c r="E35" s="206"/>
      <c r="F35" s="206"/>
      <c r="G35" s="206">
        <v>200</v>
      </c>
      <c r="H35" s="206"/>
      <c r="I35" s="206"/>
      <c r="J35" s="206"/>
      <c r="L35" s="93"/>
      <c r="M35" s="93"/>
    </row>
    <row r="36" spans="1:26" s="72" customFormat="1" ht="15">
      <c r="A36" s="201" t="s">
        <v>138</v>
      </c>
      <c r="B36" s="202"/>
      <c r="C36" s="203" t="s">
        <v>139</v>
      </c>
      <c r="D36" s="204"/>
      <c r="E36" s="204"/>
      <c r="F36" s="204"/>
      <c r="G36" s="204"/>
      <c r="H36" s="204"/>
      <c r="I36" s="204"/>
      <c r="J36" s="205"/>
      <c r="L36" s="93"/>
      <c r="M36" s="93"/>
    </row>
    <row r="37" spans="1:26" s="72" customFormat="1" ht="15">
      <c r="A37" s="71"/>
      <c r="L37" s="93"/>
      <c r="M37" s="93"/>
    </row>
    <row r="38" spans="1:26" s="72" customFormat="1" ht="15">
      <c r="A38" s="71"/>
      <c r="L38" s="93"/>
      <c r="M38" s="93"/>
    </row>
    <row r="39" spans="1:26" s="8" customFormat="1" ht="13.5">
      <c r="A39" s="9"/>
      <c r="L39" s="92"/>
      <c r="M39" s="92"/>
    </row>
    <row r="40" spans="1:26" s="8" customFormat="1" ht="13.5">
      <c r="A40" s="9"/>
      <c r="L40" s="92"/>
      <c r="M40" s="92"/>
    </row>
    <row r="41" spans="1:26" s="8" customFormat="1" ht="13.5">
      <c r="A41" s="9"/>
      <c r="L41" s="92"/>
      <c r="M41" s="92"/>
    </row>
    <row r="42" spans="1:26" s="72" customFormat="1" ht="19.25" customHeight="1">
      <c r="A42" s="73" t="s">
        <v>140</v>
      </c>
      <c r="B42" s="74" t="s">
        <v>141</v>
      </c>
      <c r="C42" s="195" t="s">
        <v>142</v>
      </c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7"/>
      <c r="O42" s="198" t="s">
        <v>143</v>
      </c>
      <c r="P42" s="199"/>
      <c r="Q42" s="199"/>
      <c r="R42" s="199"/>
      <c r="S42" s="200"/>
      <c r="T42" s="198" t="s">
        <v>144</v>
      </c>
      <c r="U42" s="199"/>
      <c r="V42" s="199"/>
      <c r="W42" s="200"/>
      <c r="X42" s="199" t="s">
        <v>145</v>
      </c>
      <c r="Y42" s="199"/>
      <c r="Z42" s="200"/>
    </row>
    <row r="43" spans="1:26" s="8" customFormat="1" ht="16.5" customHeight="1">
      <c r="A43" s="192" t="s">
        <v>146</v>
      </c>
      <c r="B43" s="73" t="s">
        <v>147</v>
      </c>
      <c r="C43" s="181" t="s">
        <v>148</v>
      </c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3"/>
      <c r="O43" s="174" t="s">
        <v>149</v>
      </c>
      <c r="P43" s="169"/>
      <c r="Q43" s="169"/>
      <c r="R43" s="169"/>
      <c r="S43" s="170"/>
      <c r="T43" s="174" t="s">
        <v>150</v>
      </c>
      <c r="U43" s="169"/>
      <c r="V43" s="169"/>
      <c r="W43" s="170"/>
      <c r="X43" s="174">
        <v>1</v>
      </c>
      <c r="Y43" s="169"/>
      <c r="Z43" s="170"/>
    </row>
    <row r="44" spans="1:26" s="8" customFormat="1" ht="16.5" customHeight="1">
      <c r="A44" s="193"/>
      <c r="B44" s="73" t="s">
        <v>151</v>
      </c>
      <c r="C44" s="181" t="s">
        <v>152</v>
      </c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3"/>
      <c r="O44" s="174" t="s">
        <v>149</v>
      </c>
      <c r="P44" s="169"/>
      <c r="Q44" s="169"/>
      <c r="R44" s="169"/>
      <c r="S44" s="170"/>
      <c r="T44" s="174" t="s">
        <v>153</v>
      </c>
      <c r="U44" s="169"/>
      <c r="V44" s="169"/>
      <c r="W44" s="170"/>
      <c r="X44" s="174">
        <v>1</v>
      </c>
      <c r="Y44" s="169"/>
      <c r="Z44" s="170"/>
    </row>
    <row r="45" spans="1:26" s="8" customFormat="1" ht="16.5" customHeight="1">
      <c r="A45" s="193"/>
      <c r="B45" s="73" t="s">
        <v>154</v>
      </c>
      <c r="C45" s="181" t="s">
        <v>155</v>
      </c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3"/>
      <c r="O45" s="174" t="s">
        <v>156</v>
      </c>
      <c r="P45" s="169"/>
      <c r="Q45" s="169"/>
      <c r="R45" s="169"/>
      <c r="S45" s="170"/>
      <c r="T45" s="174" t="s">
        <v>157</v>
      </c>
      <c r="U45" s="169"/>
      <c r="V45" s="169"/>
      <c r="W45" s="170"/>
      <c r="X45" s="174">
        <v>6</v>
      </c>
      <c r="Y45" s="169"/>
      <c r="Z45" s="170"/>
    </row>
    <row r="46" spans="1:26" s="8" customFormat="1" ht="16.5" customHeight="1">
      <c r="A46" s="193"/>
      <c r="B46" s="73" t="s">
        <v>158</v>
      </c>
      <c r="C46" s="181" t="s">
        <v>159</v>
      </c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3"/>
      <c r="O46" s="174" t="s">
        <v>160</v>
      </c>
      <c r="P46" s="169"/>
      <c r="Q46" s="169"/>
      <c r="R46" s="169"/>
      <c r="S46" s="170"/>
      <c r="T46" s="174" t="s">
        <v>161</v>
      </c>
      <c r="U46" s="169"/>
      <c r="V46" s="169"/>
      <c r="W46" s="170"/>
      <c r="X46" s="174">
        <v>6</v>
      </c>
      <c r="Y46" s="169"/>
      <c r="Z46" s="170"/>
    </row>
    <row r="47" spans="1:26" s="8" customFormat="1" ht="16.5" customHeight="1">
      <c r="A47" s="194"/>
      <c r="B47" s="73" t="s">
        <v>162</v>
      </c>
      <c r="C47" s="181" t="s">
        <v>163</v>
      </c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3"/>
      <c r="O47" s="174" t="s">
        <v>160</v>
      </c>
      <c r="P47" s="169"/>
      <c r="Q47" s="169"/>
      <c r="R47" s="169"/>
      <c r="S47" s="170"/>
      <c r="T47" s="174" t="s">
        <v>164</v>
      </c>
      <c r="U47" s="169"/>
      <c r="V47" s="169"/>
      <c r="W47" s="170"/>
      <c r="X47" s="174">
        <v>6</v>
      </c>
      <c r="Y47" s="169"/>
      <c r="Z47" s="170"/>
    </row>
    <row r="48" spans="1:26" s="8" customFormat="1" ht="16.5" customHeight="1">
      <c r="A48" s="186" t="s">
        <v>165</v>
      </c>
      <c r="B48" s="73" t="s">
        <v>166</v>
      </c>
      <c r="C48" s="181" t="s">
        <v>167</v>
      </c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3"/>
      <c r="O48" s="174" t="s">
        <v>168</v>
      </c>
      <c r="P48" s="169"/>
      <c r="Q48" s="169"/>
      <c r="R48" s="169"/>
      <c r="S48" s="170"/>
      <c r="T48" s="174" t="s">
        <v>169</v>
      </c>
      <c r="U48" s="169"/>
      <c r="V48" s="169"/>
      <c r="W48" s="170"/>
      <c r="X48" s="174">
        <v>2</v>
      </c>
      <c r="Y48" s="169"/>
      <c r="Z48" s="170"/>
    </row>
    <row r="49" spans="1:26" s="8" customFormat="1" ht="16.5" customHeight="1">
      <c r="A49" s="188"/>
      <c r="B49" s="73" t="s">
        <v>170</v>
      </c>
      <c r="C49" s="181" t="s">
        <v>171</v>
      </c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3"/>
      <c r="O49" s="174" t="s">
        <v>172</v>
      </c>
      <c r="P49" s="169"/>
      <c r="Q49" s="169"/>
      <c r="R49" s="169"/>
      <c r="S49" s="170"/>
      <c r="T49" s="174" t="s">
        <v>173</v>
      </c>
      <c r="U49" s="169"/>
      <c r="V49" s="169"/>
      <c r="W49" s="170"/>
      <c r="X49" s="174">
        <v>1</v>
      </c>
      <c r="Y49" s="169"/>
      <c r="Z49" s="170"/>
    </row>
    <row r="50" spans="1:26" s="8" customFormat="1" ht="16.5" customHeight="1">
      <c r="A50" s="186" t="s">
        <v>174</v>
      </c>
      <c r="B50" s="73" t="s">
        <v>175</v>
      </c>
      <c r="C50" s="181" t="s">
        <v>176</v>
      </c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3"/>
      <c r="O50" s="174" t="s">
        <v>1</v>
      </c>
      <c r="P50" s="169"/>
      <c r="Q50" s="169"/>
      <c r="R50" s="169"/>
      <c r="S50" s="170"/>
      <c r="T50" s="174" t="s">
        <v>98</v>
      </c>
      <c r="U50" s="169"/>
      <c r="V50" s="169"/>
      <c r="W50" s="170"/>
      <c r="X50" s="174">
        <v>1</v>
      </c>
      <c r="Y50" s="169"/>
      <c r="Z50" s="170"/>
    </row>
    <row r="51" spans="1:26" s="8" customFormat="1" ht="16.5" customHeight="1">
      <c r="A51" s="187"/>
      <c r="B51" s="73" t="s">
        <v>177</v>
      </c>
      <c r="C51" s="181" t="s">
        <v>178</v>
      </c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3"/>
      <c r="O51" s="174" t="s">
        <v>1</v>
      </c>
      <c r="P51" s="169"/>
      <c r="Q51" s="169"/>
      <c r="R51" s="169"/>
      <c r="S51" s="170"/>
      <c r="T51" s="174" t="s">
        <v>179</v>
      </c>
      <c r="U51" s="169"/>
      <c r="V51" s="169"/>
      <c r="W51" s="170"/>
      <c r="X51" s="174">
        <v>4</v>
      </c>
      <c r="Y51" s="169"/>
      <c r="Z51" s="170"/>
    </row>
    <row r="52" spans="1:26" s="8" customFormat="1" ht="16.5" customHeight="1">
      <c r="A52" s="187"/>
      <c r="B52" s="73" t="s">
        <v>180</v>
      </c>
      <c r="C52" s="181" t="s">
        <v>181</v>
      </c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3"/>
      <c r="O52" s="174" t="s">
        <v>149</v>
      </c>
      <c r="P52" s="169"/>
      <c r="Q52" s="169"/>
      <c r="R52" s="169"/>
      <c r="S52" s="170"/>
      <c r="T52" s="174" t="s">
        <v>182</v>
      </c>
      <c r="U52" s="169"/>
      <c r="V52" s="169"/>
      <c r="W52" s="170"/>
      <c r="X52" s="174">
        <v>1</v>
      </c>
      <c r="Y52" s="169"/>
      <c r="Z52" s="170"/>
    </row>
    <row r="53" spans="1:26" s="8" customFormat="1" ht="16.5" customHeight="1">
      <c r="A53" s="188"/>
      <c r="B53" s="73" t="s">
        <v>183</v>
      </c>
      <c r="C53" s="181" t="s">
        <v>184</v>
      </c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3"/>
      <c r="O53" s="174" t="s">
        <v>149</v>
      </c>
      <c r="P53" s="169"/>
      <c r="Q53" s="169"/>
      <c r="R53" s="169"/>
      <c r="S53" s="170"/>
      <c r="T53" s="174" t="s">
        <v>185</v>
      </c>
      <c r="U53" s="169"/>
      <c r="V53" s="169"/>
      <c r="W53" s="170"/>
      <c r="X53" s="174">
        <v>1</v>
      </c>
      <c r="Y53" s="169"/>
      <c r="Z53" s="170"/>
    </row>
    <row r="54" spans="1:26" s="8" customFormat="1" ht="16.5" customHeight="1">
      <c r="A54" s="189" t="s">
        <v>186</v>
      </c>
      <c r="B54" s="73" t="s">
        <v>187</v>
      </c>
      <c r="C54" s="181" t="s">
        <v>188</v>
      </c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3"/>
      <c r="O54" s="174" t="s">
        <v>0</v>
      </c>
      <c r="P54" s="169"/>
      <c r="Q54" s="169"/>
      <c r="R54" s="169"/>
      <c r="S54" s="170"/>
      <c r="T54" s="174" t="s">
        <v>52</v>
      </c>
      <c r="U54" s="169"/>
      <c r="V54" s="169"/>
      <c r="W54" s="170"/>
      <c r="X54" s="174">
        <v>1</v>
      </c>
      <c r="Y54" s="169"/>
      <c r="Z54" s="170"/>
    </row>
    <row r="55" spans="1:26" s="8" customFormat="1" ht="16.5" customHeight="1">
      <c r="A55" s="190"/>
      <c r="B55" s="73" t="s">
        <v>189</v>
      </c>
      <c r="C55" s="181" t="s">
        <v>190</v>
      </c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3"/>
      <c r="O55" s="174" t="s">
        <v>1</v>
      </c>
      <c r="P55" s="169"/>
      <c r="Q55" s="169"/>
      <c r="R55" s="169"/>
      <c r="S55" s="170"/>
      <c r="T55" s="174" t="s">
        <v>54</v>
      </c>
      <c r="U55" s="169"/>
      <c r="V55" s="169"/>
      <c r="W55" s="170"/>
      <c r="X55" s="174">
        <v>2</v>
      </c>
      <c r="Y55" s="169"/>
      <c r="Z55" s="170"/>
    </row>
    <row r="56" spans="1:26" s="8" customFormat="1" ht="16.5" customHeight="1">
      <c r="A56" s="190"/>
      <c r="B56" s="73" t="s">
        <v>191</v>
      </c>
      <c r="C56" s="181" t="s">
        <v>192</v>
      </c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3"/>
      <c r="O56" s="174" t="s">
        <v>1</v>
      </c>
      <c r="P56" s="169"/>
      <c r="Q56" s="169"/>
      <c r="R56" s="169"/>
      <c r="S56" s="170"/>
      <c r="T56" s="174" t="s">
        <v>55</v>
      </c>
      <c r="U56" s="169"/>
      <c r="V56" s="169"/>
      <c r="W56" s="170"/>
      <c r="X56" s="174">
        <v>2</v>
      </c>
      <c r="Y56" s="169"/>
      <c r="Z56" s="170"/>
    </row>
    <row r="57" spans="1:26" s="8" customFormat="1" ht="16.5" customHeight="1">
      <c r="A57" s="190"/>
      <c r="B57" s="73" t="s">
        <v>193</v>
      </c>
      <c r="C57" s="181" t="s">
        <v>194</v>
      </c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3"/>
      <c r="O57" s="174" t="s">
        <v>1</v>
      </c>
      <c r="P57" s="169"/>
      <c r="Q57" s="169"/>
      <c r="R57" s="169"/>
      <c r="S57" s="170"/>
      <c r="T57" s="174" t="s">
        <v>56</v>
      </c>
      <c r="U57" s="169"/>
      <c r="V57" s="169"/>
      <c r="W57" s="170"/>
      <c r="X57" s="174">
        <v>2</v>
      </c>
      <c r="Y57" s="169"/>
      <c r="Z57" s="170"/>
    </row>
    <row r="58" spans="1:26" s="8" customFormat="1" ht="16.5" customHeight="1">
      <c r="A58" s="191"/>
      <c r="B58" s="73" t="s">
        <v>195</v>
      </c>
      <c r="C58" s="181" t="s">
        <v>196</v>
      </c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3"/>
      <c r="O58" s="174" t="s">
        <v>1</v>
      </c>
      <c r="P58" s="169"/>
      <c r="Q58" s="169"/>
      <c r="R58" s="169"/>
      <c r="S58" s="170"/>
      <c r="T58" s="174" t="s">
        <v>57</v>
      </c>
      <c r="U58" s="169"/>
      <c r="V58" s="169"/>
      <c r="W58" s="170"/>
      <c r="X58" s="174">
        <v>22</v>
      </c>
      <c r="Y58" s="169"/>
      <c r="Z58" s="170"/>
    </row>
    <row r="59" spans="1:26" s="8" customFormat="1" ht="16.5" customHeight="1">
      <c r="A59" s="75" t="s">
        <v>197</v>
      </c>
      <c r="B59" s="73" t="s">
        <v>198</v>
      </c>
      <c r="C59" s="181" t="s">
        <v>199</v>
      </c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3"/>
      <c r="O59" s="174" t="s">
        <v>1</v>
      </c>
      <c r="P59" s="169"/>
      <c r="Q59" s="169"/>
      <c r="R59" s="169"/>
      <c r="S59" s="170"/>
      <c r="T59" s="174" t="s">
        <v>200</v>
      </c>
      <c r="U59" s="169"/>
      <c r="V59" s="169"/>
      <c r="W59" s="170"/>
      <c r="X59" s="174">
        <v>8</v>
      </c>
      <c r="Y59" s="169"/>
      <c r="Z59" s="170"/>
    </row>
    <row r="60" spans="1:26" s="8" customFormat="1" ht="16.5" customHeight="1">
      <c r="A60" s="75" t="s">
        <v>201</v>
      </c>
      <c r="B60" s="73" t="s">
        <v>202</v>
      </c>
      <c r="C60" s="181" t="s">
        <v>159</v>
      </c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3"/>
      <c r="O60" s="174" t="s">
        <v>149</v>
      </c>
      <c r="P60" s="169"/>
      <c r="Q60" s="169"/>
      <c r="R60" s="169"/>
      <c r="S60" s="170"/>
      <c r="T60" s="174" t="s">
        <v>203</v>
      </c>
      <c r="U60" s="169"/>
      <c r="V60" s="169"/>
      <c r="W60" s="170"/>
      <c r="X60" s="174">
        <v>1</v>
      </c>
      <c r="Y60" s="169"/>
      <c r="Z60" s="170"/>
    </row>
    <row r="61" spans="1:26" s="8" customFormat="1" ht="16.5" customHeight="1">
      <c r="A61" s="184" t="s">
        <v>204</v>
      </c>
      <c r="B61" s="73" t="s">
        <v>205</v>
      </c>
      <c r="C61" s="181" t="s">
        <v>190</v>
      </c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3"/>
      <c r="O61" s="174" t="s">
        <v>1</v>
      </c>
      <c r="P61" s="169"/>
      <c r="Q61" s="169"/>
      <c r="R61" s="169"/>
      <c r="S61" s="170"/>
      <c r="T61" s="174" t="s">
        <v>54</v>
      </c>
      <c r="U61" s="169"/>
      <c r="V61" s="169"/>
      <c r="W61" s="170"/>
      <c r="X61" s="174">
        <v>2</v>
      </c>
      <c r="Y61" s="169"/>
      <c r="Z61" s="170"/>
    </row>
    <row r="62" spans="1:26" s="8" customFormat="1" ht="16.5" customHeight="1">
      <c r="A62" s="185"/>
      <c r="B62" s="73" t="s">
        <v>206</v>
      </c>
      <c r="C62" s="181" t="s">
        <v>207</v>
      </c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3"/>
      <c r="O62" s="174" t="s">
        <v>1</v>
      </c>
      <c r="P62" s="169"/>
      <c r="Q62" s="169"/>
      <c r="R62" s="169"/>
      <c r="S62" s="170"/>
      <c r="T62" s="174" t="s">
        <v>208</v>
      </c>
      <c r="U62" s="169"/>
      <c r="V62" s="169"/>
      <c r="W62" s="170"/>
      <c r="X62" s="174">
        <v>1</v>
      </c>
      <c r="Y62" s="169"/>
      <c r="Z62" s="170"/>
    </row>
    <row r="63" spans="1:26" s="8" customFormat="1" ht="16.5" customHeight="1">
      <c r="A63" s="75" t="s">
        <v>209</v>
      </c>
      <c r="B63" s="73" t="s">
        <v>210</v>
      </c>
      <c r="C63" s="181" t="s">
        <v>163</v>
      </c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3"/>
      <c r="O63" s="174" t="s">
        <v>160</v>
      </c>
      <c r="P63" s="169"/>
      <c r="Q63" s="169"/>
      <c r="R63" s="169"/>
      <c r="S63" s="170"/>
      <c r="T63" s="174" t="s">
        <v>164</v>
      </c>
      <c r="U63" s="169"/>
      <c r="V63" s="169"/>
      <c r="W63" s="170"/>
      <c r="X63" s="174">
        <v>1</v>
      </c>
      <c r="Y63" s="169"/>
      <c r="Z63" s="170"/>
    </row>
    <row r="64" spans="1:26" s="8" customFormat="1" ht="16.5" customHeight="1">
      <c r="A64" s="75" t="s">
        <v>211</v>
      </c>
      <c r="B64" s="73" t="s">
        <v>212</v>
      </c>
      <c r="C64" s="181" t="s">
        <v>188</v>
      </c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3"/>
      <c r="O64" s="174" t="s">
        <v>0</v>
      </c>
      <c r="P64" s="169"/>
      <c r="Q64" s="169"/>
      <c r="R64" s="169"/>
      <c r="S64" s="170"/>
      <c r="T64" s="174" t="s">
        <v>52</v>
      </c>
      <c r="U64" s="169"/>
      <c r="V64" s="169"/>
      <c r="W64" s="170"/>
      <c r="X64" s="174">
        <v>1</v>
      </c>
      <c r="Y64" s="169"/>
      <c r="Z64" s="170"/>
    </row>
    <row r="65" spans="1:26" s="8" customFormat="1" ht="16.5" customHeight="1">
      <c r="A65" s="75" t="s">
        <v>213</v>
      </c>
      <c r="B65" s="73" t="s">
        <v>214</v>
      </c>
      <c r="C65" s="181" t="s">
        <v>148</v>
      </c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3"/>
      <c r="O65" s="174" t="s">
        <v>149</v>
      </c>
      <c r="P65" s="169"/>
      <c r="Q65" s="169"/>
      <c r="R65" s="169"/>
      <c r="S65" s="170"/>
      <c r="T65" s="174" t="s">
        <v>215</v>
      </c>
      <c r="U65" s="169"/>
      <c r="V65" s="169"/>
      <c r="W65" s="170"/>
      <c r="X65" s="174">
        <v>1</v>
      </c>
      <c r="Y65" s="169"/>
      <c r="Z65" s="170"/>
    </row>
    <row r="66" spans="1:26" s="8" customFormat="1" ht="16.5" customHeight="1">
      <c r="A66" s="75" t="s">
        <v>216</v>
      </c>
      <c r="B66" s="73" t="s">
        <v>217</v>
      </c>
      <c r="C66" s="181" t="s">
        <v>181</v>
      </c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3"/>
      <c r="O66" s="174" t="s">
        <v>149</v>
      </c>
      <c r="P66" s="169"/>
      <c r="Q66" s="169"/>
      <c r="R66" s="169"/>
      <c r="S66" s="170"/>
      <c r="T66" s="174" t="s">
        <v>182</v>
      </c>
      <c r="U66" s="169"/>
      <c r="V66" s="169"/>
      <c r="W66" s="170"/>
      <c r="X66" s="174">
        <v>1</v>
      </c>
      <c r="Y66" s="169"/>
      <c r="Z66" s="170"/>
    </row>
    <row r="67" spans="1:26" s="8" customFormat="1" ht="16.5" customHeight="1">
      <c r="A67" s="75" t="s">
        <v>218</v>
      </c>
      <c r="B67" s="73" t="s">
        <v>219</v>
      </c>
      <c r="C67" s="181" t="s">
        <v>220</v>
      </c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3"/>
      <c r="O67" s="174" t="s">
        <v>160</v>
      </c>
      <c r="P67" s="169"/>
      <c r="Q67" s="169"/>
      <c r="R67" s="169"/>
      <c r="S67" s="170"/>
      <c r="T67" s="174" t="s">
        <v>161</v>
      </c>
      <c r="U67" s="169"/>
      <c r="V67" s="169"/>
      <c r="W67" s="170"/>
      <c r="X67" s="174">
        <v>6</v>
      </c>
      <c r="Y67" s="169"/>
      <c r="Z67" s="170"/>
    </row>
    <row r="68" spans="1:26" s="8" customFormat="1" ht="16.5" customHeight="1">
      <c r="A68" s="73">
        <v>13</v>
      </c>
      <c r="B68" s="73" t="s">
        <v>221</v>
      </c>
      <c r="C68" s="168" t="s">
        <v>222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80"/>
      <c r="O68" s="171" t="s">
        <v>149</v>
      </c>
      <c r="P68" s="172"/>
      <c r="Q68" s="172"/>
      <c r="R68" s="172"/>
      <c r="S68" s="173"/>
      <c r="T68" s="174" t="s">
        <v>150</v>
      </c>
      <c r="U68" s="169"/>
      <c r="V68" s="169"/>
      <c r="W68" s="170"/>
      <c r="X68" s="174">
        <v>1</v>
      </c>
      <c r="Y68" s="169"/>
      <c r="Z68" s="170"/>
    </row>
    <row r="69" spans="1:26" s="8" customFormat="1" ht="16.5" customHeight="1">
      <c r="A69" s="73" t="s">
        <v>3</v>
      </c>
      <c r="B69" s="73" t="s">
        <v>223</v>
      </c>
      <c r="C69" s="168" t="s">
        <v>224</v>
      </c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80"/>
      <c r="O69" s="171" t="s">
        <v>149</v>
      </c>
      <c r="P69" s="172"/>
      <c r="Q69" s="172"/>
      <c r="R69" s="172"/>
      <c r="S69" s="173"/>
      <c r="T69" s="174" t="s">
        <v>153</v>
      </c>
      <c r="U69" s="169"/>
      <c r="V69" s="169"/>
      <c r="W69" s="170"/>
      <c r="X69" s="174">
        <v>1</v>
      </c>
      <c r="Y69" s="169"/>
      <c r="Z69" s="170"/>
    </row>
    <row r="70" spans="1:26" s="8" customFormat="1" ht="16.5" customHeight="1">
      <c r="A70" s="73" t="s">
        <v>3</v>
      </c>
      <c r="B70" s="73" t="s">
        <v>225</v>
      </c>
      <c r="C70" s="168" t="s">
        <v>226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80"/>
      <c r="O70" s="171" t="s">
        <v>156</v>
      </c>
      <c r="P70" s="172"/>
      <c r="Q70" s="172"/>
      <c r="R70" s="172"/>
      <c r="S70" s="173"/>
      <c r="T70" s="174" t="s">
        <v>157</v>
      </c>
      <c r="U70" s="169"/>
      <c r="V70" s="169"/>
      <c r="W70" s="170"/>
      <c r="X70" s="174">
        <v>6</v>
      </c>
      <c r="Y70" s="169"/>
      <c r="Z70" s="170"/>
    </row>
    <row r="71" spans="1:26" s="8" customFormat="1" ht="16.5" customHeight="1">
      <c r="A71" s="73" t="s">
        <v>3</v>
      </c>
      <c r="B71" s="73" t="s">
        <v>227</v>
      </c>
      <c r="C71" s="168" t="s">
        <v>228</v>
      </c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80"/>
      <c r="O71" s="171" t="s">
        <v>160</v>
      </c>
      <c r="P71" s="172"/>
      <c r="Q71" s="172"/>
      <c r="R71" s="172"/>
      <c r="S71" s="173"/>
      <c r="T71" s="174" t="s">
        <v>161</v>
      </c>
      <c r="U71" s="169"/>
      <c r="V71" s="169"/>
      <c r="W71" s="170"/>
      <c r="X71" s="174">
        <v>6</v>
      </c>
      <c r="Y71" s="169"/>
      <c r="Z71" s="170"/>
    </row>
    <row r="72" spans="1:26" s="8" customFormat="1" ht="16.5" customHeight="1">
      <c r="A72" s="73" t="s">
        <v>3</v>
      </c>
      <c r="B72" s="73" t="s">
        <v>229</v>
      </c>
      <c r="C72" s="168" t="s">
        <v>230</v>
      </c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80"/>
      <c r="O72" s="171" t="s">
        <v>160</v>
      </c>
      <c r="P72" s="172"/>
      <c r="Q72" s="172"/>
      <c r="R72" s="172"/>
      <c r="S72" s="173"/>
      <c r="T72" s="174" t="s">
        <v>164</v>
      </c>
      <c r="U72" s="169"/>
      <c r="V72" s="169"/>
      <c r="W72" s="170"/>
      <c r="X72" s="174">
        <v>6</v>
      </c>
      <c r="Y72" s="169"/>
      <c r="Z72" s="170"/>
    </row>
    <row r="73" spans="1:26" s="8" customFormat="1" ht="16.5" customHeight="1">
      <c r="A73" s="73">
        <v>14</v>
      </c>
      <c r="B73" s="10" t="s">
        <v>231</v>
      </c>
      <c r="C73" s="168" t="s">
        <v>232</v>
      </c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70"/>
      <c r="O73" s="171" t="s">
        <v>1</v>
      </c>
      <c r="P73" s="172"/>
      <c r="Q73" s="172"/>
      <c r="R73" s="172"/>
      <c r="S73" s="173"/>
      <c r="T73" s="174" t="s">
        <v>98</v>
      </c>
      <c r="U73" s="169"/>
      <c r="V73" s="169"/>
      <c r="W73" s="170"/>
      <c r="X73" s="176">
        <v>1</v>
      </c>
      <c r="Y73" s="177"/>
      <c r="Z73" s="178"/>
    </row>
    <row r="74" spans="1:26" s="8" customFormat="1" ht="16.5" customHeight="1">
      <c r="A74" s="73" t="s">
        <v>3</v>
      </c>
      <c r="B74" s="10" t="s">
        <v>233</v>
      </c>
      <c r="C74" s="168" t="s">
        <v>234</v>
      </c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70"/>
      <c r="O74" s="171" t="s">
        <v>1</v>
      </c>
      <c r="P74" s="172"/>
      <c r="Q74" s="172"/>
      <c r="R74" s="172"/>
      <c r="S74" s="173"/>
      <c r="T74" s="174" t="s">
        <v>179</v>
      </c>
      <c r="U74" s="169"/>
      <c r="V74" s="169"/>
      <c r="W74" s="170"/>
      <c r="X74" s="176">
        <v>4</v>
      </c>
      <c r="Y74" s="177"/>
      <c r="Z74" s="178"/>
    </row>
    <row r="75" spans="1:26" s="8" customFormat="1" ht="16.5" customHeight="1">
      <c r="A75" s="73" t="s">
        <v>3</v>
      </c>
      <c r="B75" s="10" t="s">
        <v>235</v>
      </c>
      <c r="C75" s="168" t="s">
        <v>236</v>
      </c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70"/>
      <c r="O75" s="171" t="s">
        <v>149</v>
      </c>
      <c r="P75" s="172"/>
      <c r="Q75" s="172"/>
      <c r="R75" s="172"/>
      <c r="S75" s="173"/>
      <c r="T75" s="174" t="s">
        <v>182</v>
      </c>
      <c r="U75" s="169"/>
      <c r="V75" s="169"/>
      <c r="W75" s="170"/>
      <c r="X75" s="176">
        <v>1</v>
      </c>
      <c r="Y75" s="177"/>
      <c r="Z75" s="178"/>
    </row>
    <row r="76" spans="1:26" s="8" customFormat="1" ht="16.5" customHeight="1">
      <c r="A76" s="73" t="s">
        <v>3</v>
      </c>
      <c r="B76" s="10" t="s">
        <v>237</v>
      </c>
      <c r="C76" s="168" t="s">
        <v>238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70"/>
      <c r="O76" s="171" t="s">
        <v>149</v>
      </c>
      <c r="P76" s="172"/>
      <c r="Q76" s="172"/>
      <c r="R76" s="172"/>
      <c r="S76" s="173"/>
      <c r="T76" s="174" t="s">
        <v>185</v>
      </c>
      <c r="U76" s="169"/>
      <c r="V76" s="169"/>
      <c r="W76" s="170"/>
      <c r="X76" s="176">
        <v>1</v>
      </c>
      <c r="Y76" s="177"/>
      <c r="Z76" s="178"/>
    </row>
    <row r="77" spans="1:26" s="8" customFormat="1" ht="16.5" customHeight="1">
      <c r="A77" s="73">
        <v>15</v>
      </c>
      <c r="B77" s="73" t="s">
        <v>239</v>
      </c>
      <c r="C77" s="168" t="s">
        <v>72</v>
      </c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70"/>
      <c r="O77" s="174" t="s">
        <v>0</v>
      </c>
      <c r="P77" s="169"/>
      <c r="Q77" s="169"/>
      <c r="R77" s="169"/>
      <c r="S77" s="170"/>
      <c r="T77" s="174" t="s">
        <v>52</v>
      </c>
      <c r="U77" s="169"/>
      <c r="V77" s="169"/>
      <c r="W77" s="170"/>
      <c r="X77" s="174">
        <v>1</v>
      </c>
      <c r="Y77" s="169"/>
      <c r="Z77" s="170"/>
    </row>
    <row r="78" spans="1:26" s="8" customFormat="1" ht="16.5" customHeight="1">
      <c r="A78" s="73" t="s">
        <v>3</v>
      </c>
      <c r="B78" s="73" t="s">
        <v>240</v>
      </c>
      <c r="C78" s="168" t="s">
        <v>73</v>
      </c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70"/>
      <c r="O78" s="171" t="s">
        <v>1</v>
      </c>
      <c r="P78" s="172"/>
      <c r="Q78" s="172"/>
      <c r="R78" s="172"/>
      <c r="S78" s="173"/>
      <c r="T78" s="174" t="s">
        <v>54</v>
      </c>
      <c r="U78" s="169"/>
      <c r="V78" s="169"/>
      <c r="W78" s="170"/>
      <c r="X78" s="174">
        <v>2</v>
      </c>
      <c r="Y78" s="169"/>
      <c r="Z78" s="170"/>
    </row>
    <row r="79" spans="1:26" s="8" customFormat="1" ht="16.5" customHeight="1">
      <c r="A79" s="73" t="s">
        <v>3</v>
      </c>
      <c r="B79" s="73" t="s">
        <v>241</v>
      </c>
      <c r="C79" s="168" t="s">
        <v>74</v>
      </c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70"/>
      <c r="O79" s="171" t="s">
        <v>1</v>
      </c>
      <c r="P79" s="172"/>
      <c r="Q79" s="172"/>
      <c r="R79" s="172"/>
      <c r="S79" s="173"/>
      <c r="T79" s="174" t="s">
        <v>55</v>
      </c>
      <c r="U79" s="169"/>
      <c r="V79" s="169"/>
      <c r="W79" s="170"/>
      <c r="X79" s="174">
        <v>2</v>
      </c>
      <c r="Y79" s="169"/>
      <c r="Z79" s="170"/>
    </row>
    <row r="80" spans="1:26" s="8" customFormat="1" ht="16.5" customHeight="1">
      <c r="A80" s="73" t="s">
        <v>3</v>
      </c>
      <c r="B80" s="73" t="s">
        <v>242</v>
      </c>
      <c r="C80" s="168" t="s">
        <v>75</v>
      </c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70"/>
      <c r="O80" s="171" t="s">
        <v>1</v>
      </c>
      <c r="P80" s="172"/>
      <c r="Q80" s="172"/>
      <c r="R80" s="172"/>
      <c r="S80" s="173"/>
      <c r="T80" s="174" t="s">
        <v>56</v>
      </c>
      <c r="U80" s="169"/>
      <c r="V80" s="169"/>
      <c r="W80" s="170"/>
      <c r="X80" s="174">
        <v>2</v>
      </c>
      <c r="Y80" s="169"/>
      <c r="Z80" s="170"/>
    </row>
    <row r="81" spans="1:26" s="8" customFormat="1" ht="16.5" customHeight="1">
      <c r="A81" s="73" t="s">
        <v>3</v>
      </c>
      <c r="B81" s="73" t="s">
        <v>243</v>
      </c>
      <c r="C81" s="168" t="s">
        <v>76</v>
      </c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70"/>
      <c r="O81" s="171" t="s">
        <v>1</v>
      </c>
      <c r="P81" s="172"/>
      <c r="Q81" s="172"/>
      <c r="R81" s="172"/>
      <c r="S81" s="173"/>
      <c r="T81" s="174" t="s">
        <v>57</v>
      </c>
      <c r="U81" s="169"/>
      <c r="V81" s="169"/>
      <c r="W81" s="170"/>
      <c r="X81" s="174">
        <v>2</v>
      </c>
      <c r="Y81" s="169"/>
      <c r="Z81" s="170"/>
    </row>
    <row r="82" spans="1:26" s="8" customFormat="1" ht="20.350000000000001" customHeight="1">
      <c r="A82" s="9" t="s">
        <v>3</v>
      </c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spans="1:26" ht="15.75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</sheetData>
  <mergeCells count="270">
    <mergeCell ref="A1:V5"/>
    <mergeCell ref="G11:J11"/>
    <mergeCell ref="G12:J12"/>
    <mergeCell ref="A14:A15"/>
    <mergeCell ref="B14:B15"/>
    <mergeCell ref="C14:H15"/>
    <mergeCell ref="I14:N15"/>
    <mergeCell ref="A6:Z6"/>
    <mergeCell ref="A7:B7"/>
    <mergeCell ref="G8:J8"/>
    <mergeCell ref="A9:B9"/>
    <mergeCell ref="G9:J9"/>
    <mergeCell ref="S9:V10"/>
    <mergeCell ref="D10:F10"/>
    <mergeCell ref="G10:J10"/>
    <mergeCell ref="X7:Z7"/>
    <mergeCell ref="O18:T18"/>
    <mergeCell ref="U18:Z18"/>
    <mergeCell ref="C19:H19"/>
    <mergeCell ref="I19:N19"/>
    <mergeCell ref="O19:T19"/>
    <mergeCell ref="U19:Z19"/>
    <mergeCell ref="O14:T15"/>
    <mergeCell ref="U14:Z15"/>
    <mergeCell ref="C16:H16"/>
    <mergeCell ref="I16:N16"/>
    <mergeCell ref="O16:T16"/>
    <mergeCell ref="U16:Z16"/>
    <mergeCell ref="C17:H17"/>
    <mergeCell ref="I17:N17"/>
    <mergeCell ref="O17:T17"/>
    <mergeCell ref="A17:A21"/>
    <mergeCell ref="C24:H24"/>
    <mergeCell ref="I24:N24"/>
    <mergeCell ref="C26:F26"/>
    <mergeCell ref="A27:J27"/>
    <mergeCell ref="C22:H22"/>
    <mergeCell ref="I22:N22"/>
    <mergeCell ref="O22:T22"/>
    <mergeCell ref="U22:Z22"/>
    <mergeCell ref="C23:H23"/>
    <mergeCell ref="I23:N23"/>
    <mergeCell ref="O23:T23"/>
    <mergeCell ref="U23:Z23"/>
    <mergeCell ref="C20:H20"/>
    <mergeCell ref="I20:N20"/>
    <mergeCell ref="O20:T20"/>
    <mergeCell ref="U20:Z20"/>
    <mergeCell ref="C21:H21"/>
    <mergeCell ref="I21:N21"/>
    <mergeCell ref="O21:T21"/>
    <mergeCell ref="U21:Z21"/>
    <mergeCell ref="U17:Z17"/>
    <mergeCell ref="C18:H18"/>
    <mergeCell ref="I18:N18"/>
    <mergeCell ref="A28:B28"/>
    <mergeCell ref="C28:F28"/>
    <mergeCell ref="G28:J28"/>
    <mergeCell ref="A29:B29"/>
    <mergeCell ref="C29:F29"/>
    <mergeCell ref="G29:J29"/>
    <mergeCell ref="O24:T24"/>
    <mergeCell ref="U24:Z24"/>
    <mergeCell ref="C25:H25"/>
    <mergeCell ref="I25:N25"/>
    <mergeCell ref="O25:T25"/>
    <mergeCell ref="U25:Z25"/>
    <mergeCell ref="L28:M28"/>
    <mergeCell ref="L29:M29"/>
    <mergeCell ref="A30:B30"/>
    <mergeCell ref="C30:F30"/>
    <mergeCell ref="G30:J30"/>
    <mergeCell ref="L30:M30"/>
    <mergeCell ref="A31:B31"/>
    <mergeCell ref="C31:F31"/>
    <mergeCell ref="G31:J31"/>
    <mergeCell ref="L31:M31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L40:M40"/>
    <mergeCell ref="L41:M41"/>
    <mergeCell ref="C42:N42"/>
    <mergeCell ref="O42:S42"/>
    <mergeCell ref="T42:W42"/>
    <mergeCell ref="X42:Z42"/>
    <mergeCell ref="A36:B36"/>
    <mergeCell ref="C36:J36"/>
    <mergeCell ref="L36:M36"/>
    <mergeCell ref="L37:M37"/>
    <mergeCell ref="L38:M38"/>
    <mergeCell ref="L39:M39"/>
    <mergeCell ref="O45:S45"/>
    <mergeCell ref="T45:W45"/>
    <mergeCell ref="X45:Z45"/>
    <mergeCell ref="C46:N46"/>
    <mergeCell ref="O46:S46"/>
    <mergeCell ref="T46:W46"/>
    <mergeCell ref="X46:Z46"/>
    <mergeCell ref="A43:A47"/>
    <mergeCell ref="C43:N43"/>
    <mergeCell ref="O43:S43"/>
    <mergeCell ref="T43:W43"/>
    <mergeCell ref="X43:Z43"/>
    <mergeCell ref="C44:N44"/>
    <mergeCell ref="O44:S44"/>
    <mergeCell ref="T44:W44"/>
    <mergeCell ref="X44:Z44"/>
    <mergeCell ref="C45:N45"/>
    <mergeCell ref="C47:N47"/>
    <mergeCell ref="O47:S47"/>
    <mergeCell ref="T47:W47"/>
    <mergeCell ref="X47:Z47"/>
    <mergeCell ref="A48:A49"/>
    <mergeCell ref="C48:N48"/>
    <mergeCell ref="O48:S48"/>
    <mergeCell ref="T48:W48"/>
    <mergeCell ref="X48:Z48"/>
    <mergeCell ref="C49:N49"/>
    <mergeCell ref="O49:S49"/>
    <mergeCell ref="T49:W49"/>
    <mergeCell ref="X49:Z49"/>
    <mergeCell ref="A50:A53"/>
    <mergeCell ref="C50:N50"/>
    <mergeCell ref="O50:S50"/>
    <mergeCell ref="T50:W50"/>
    <mergeCell ref="X50:Z50"/>
    <mergeCell ref="C51:N51"/>
    <mergeCell ref="O51:S51"/>
    <mergeCell ref="A54:A58"/>
    <mergeCell ref="C54:N54"/>
    <mergeCell ref="O54:S54"/>
    <mergeCell ref="T54:W54"/>
    <mergeCell ref="X54:Z54"/>
    <mergeCell ref="C55:N55"/>
    <mergeCell ref="T51:W51"/>
    <mergeCell ref="X51:Z51"/>
    <mergeCell ref="C52:N52"/>
    <mergeCell ref="O52:S52"/>
    <mergeCell ref="T52:W52"/>
    <mergeCell ref="X52:Z52"/>
    <mergeCell ref="O55:S55"/>
    <mergeCell ref="T55:W55"/>
    <mergeCell ref="X55:Z55"/>
    <mergeCell ref="C56:N56"/>
    <mergeCell ref="O56:S56"/>
    <mergeCell ref="T56:W56"/>
    <mergeCell ref="X56:Z56"/>
    <mergeCell ref="C53:N53"/>
    <mergeCell ref="O53:S53"/>
    <mergeCell ref="T53:W53"/>
    <mergeCell ref="X53:Z53"/>
    <mergeCell ref="C59:N59"/>
    <mergeCell ref="O59:S59"/>
    <mergeCell ref="T59:W59"/>
    <mergeCell ref="X59:Z59"/>
    <mergeCell ref="C60:N60"/>
    <mergeCell ref="O60:S60"/>
    <mergeCell ref="T60:W60"/>
    <mergeCell ref="X60:Z60"/>
    <mergeCell ref="C57:N57"/>
    <mergeCell ref="O57:S57"/>
    <mergeCell ref="T57:W57"/>
    <mergeCell ref="X57:Z57"/>
    <mergeCell ref="C58:N58"/>
    <mergeCell ref="O58:S58"/>
    <mergeCell ref="T58:W58"/>
    <mergeCell ref="X58:Z58"/>
    <mergeCell ref="A61:A62"/>
    <mergeCell ref="C61:N61"/>
    <mergeCell ref="O61:S61"/>
    <mergeCell ref="T61:W61"/>
    <mergeCell ref="X61:Z61"/>
    <mergeCell ref="C62:N62"/>
    <mergeCell ref="O62:S62"/>
    <mergeCell ref="T62:W62"/>
    <mergeCell ref="X62:Z62"/>
    <mergeCell ref="C65:N65"/>
    <mergeCell ref="O65:S65"/>
    <mergeCell ref="T65:W65"/>
    <mergeCell ref="X65:Z65"/>
    <mergeCell ref="C66:N66"/>
    <mergeCell ref="O66:S66"/>
    <mergeCell ref="T66:W66"/>
    <mergeCell ref="X66:Z66"/>
    <mergeCell ref="C63:N63"/>
    <mergeCell ref="O63:S63"/>
    <mergeCell ref="T63:W63"/>
    <mergeCell ref="X63:Z63"/>
    <mergeCell ref="C64:N64"/>
    <mergeCell ref="O64:S64"/>
    <mergeCell ref="T64:W64"/>
    <mergeCell ref="X64:Z64"/>
    <mergeCell ref="C69:N69"/>
    <mergeCell ref="O69:S69"/>
    <mergeCell ref="T69:W69"/>
    <mergeCell ref="X69:Z69"/>
    <mergeCell ref="C70:N70"/>
    <mergeCell ref="O70:S70"/>
    <mergeCell ref="T70:W70"/>
    <mergeCell ref="X70:Z70"/>
    <mergeCell ref="C67:N67"/>
    <mergeCell ref="O67:S67"/>
    <mergeCell ref="T67:W67"/>
    <mergeCell ref="X67:Z67"/>
    <mergeCell ref="C68:N68"/>
    <mergeCell ref="O68:S68"/>
    <mergeCell ref="T68:W68"/>
    <mergeCell ref="X68:Z68"/>
    <mergeCell ref="C73:N73"/>
    <mergeCell ref="O73:S73"/>
    <mergeCell ref="T73:W73"/>
    <mergeCell ref="X73:Z73"/>
    <mergeCell ref="C74:N74"/>
    <mergeCell ref="O74:S74"/>
    <mergeCell ref="T74:W74"/>
    <mergeCell ref="X74:Z74"/>
    <mergeCell ref="C71:N71"/>
    <mergeCell ref="O71:S71"/>
    <mergeCell ref="T71:W71"/>
    <mergeCell ref="X71:Z71"/>
    <mergeCell ref="C72:N72"/>
    <mergeCell ref="O72:S72"/>
    <mergeCell ref="T72:W72"/>
    <mergeCell ref="X72:Z72"/>
    <mergeCell ref="C77:N77"/>
    <mergeCell ref="O77:S77"/>
    <mergeCell ref="T77:W77"/>
    <mergeCell ref="X77:Z77"/>
    <mergeCell ref="C78:N78"/>
    <mergeCell ref="O78:S78"/>
    <mergeCell ref="T78:W78"/>
    <mergeCell ref="X78:Z78"/>
    <mergeCell ref="C75:N75"/>
    <mergeCell ref="O75:S75"/>
    <mergeCell ref="T75:W75"/>
    <mergeCell ref="X75:Z75"/>
    <mergeCell ref="C76:N76"/>
    <mergeCell ref="O76:S76"/>
    <mergeCell ref="T76:W76"/>
    <mergeCell ref="X76:Z76"/>
    <mergeCell ref="C81:N81"/>
    <mergeCell ref="O81:S81"/>
    <mergeCell ref="T81:W81"/>
    <mergeCell ref="X81:Z81"/>
    <mergeCell ref="C82:N82"/>
    <mergeCell ref="O82:S82"/>
    <mergeCell ref="T82:W82"/>
    <mergeCell ref="X82:Z82"/>
    <mergeCell ref="C79:N79"/>
    <mergeCell ref="O79:S79"/>
    <mergeCell ref="T79:W79"/>
    <mergeCell ref="X79:Z79"/>
    <mergeCell ref="C80:N80"/>
    <mergeCell ref="O80:S80"/>
    <mergeCell ref="T80:W80"/>
    <mergeCell ref="X80:Z80"/>
  </mergeCells>
  <pageMargins left="0.7" right="0.7" top="0.75" bottom="0.75" header="0.3" footer="0.3"/>
  <pageSetup scale="7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A360-0B7E-4FA4-A0E5-83988D583B50}">
  <sheetPr>
    <pageSetUpPr fitToPage="1"/>
  </sheetPr>
  <dimension ref="A1:Z31"/>
  <sheetViews>
    <sheetView workbookViewId="0">
      <selection activeCell="G7" sqref="G7"/>
    </sheetView>
  </sheetViews>
  <sheetFormatPr defaultRowHeight="14.25"/>
  <cols>
    <col min="1" max="1" width="10.796875" customWidth="1"/>
    <col min="2" max="2" width="56.33203125" customWidth="1"/>
    <col min="3" max="18" width="3.9296875" customWidth="1"/>
    <col min="19" max="20" width="4.3984375" customWidth="1"/>
    <col min="21" max="26" width="4.9296875" customWidth="1"/>
  </cols>
  <sheetData>
    <row r="1" spans="1:26" ht="15" customHeight="1">
      <c r="A1" s="94" t="s">
        <v>101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65"/>
      <c r="X1" s="65"/>
      <c r="Y1" s="65"/>
      <c r="Z1" s="65"/>
    </row>
    <row r="2" spans="1:26" ht="1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65"/>
      <c r="X2" s="65"/>
      <c r="Y2" s="65"/>
      <c r="Z2" s="65"/>
    </row>
    <row r="3" spans="1:26" ht="1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65"/>
      <c r="X3" s="65"/>
      <c r="Y3" s="65"/>
      <c r="Z3" s="65"/>
    </row>
    <row r="4" spans="1:26" ht="15" customHeight="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65"/>
      <c r="X4" s="65"/>
      <c r="Y4" s="65"/>
      <c r="Z4" s="65"/>
    </row>
    <row r="5" spans="1:26" ht="15" customHeight="1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65"/>
      <c r="X5" s="65"/>
      <c r="Y5" s="65"/>
      <c r="Z5" s="65"/>
    </row>
    <row r="6" spans="1:26" ht="29.65">
      <c r="A6" s="91" t="s">
        <v>102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 s="8" customFormat="1" ht="17.25">
      <c r="A7" s="17" t="s">
        <v>102</v>
      </c>
      <c r="B7" s="17"/>
      <c r="C7" s="57" t="s">
        <v>103</v>
      </c>
      <c r="E7" s="18"/>
      <c r="F7" s="18"/>
      <c r="G7" s="17" t="str">
        <f>'ใบงาน Agilent_JOB 4.1'!F7</f>
        <v>xxx</v>
      </c>
      <c r="H7" s="17"/>
      <c r="I7" s="17"/>
      <c r="J7" s="17"/>
      <c r="L7" s="18"/>
      <c r="M7" s="18"/>
      <c r="N7" s="18"/>
      <c r="O7" s="18"/>
      <c r="P7" s="18"/>
      <c r="Q7" s="18"/>
      <c r="R7" s="18"/>
      <c r="S7" s="66" t="s">
        <v>82</v>
      </c>
      <c r="W7" s="118">
        <f>'ใบงาน Agilent_JOB 4.1'!N7</f>
        <v>20260803</v>
      </c>
      <c r="X7" s="118"/>
      <c r="Y7" s="118"/>
      <c r="Z7" s="87"/>
    </row>
    <row r="8" spans="1:26" s="8" customFormat="1" ht="21.4" customHeight="1">
      <c r="A8" s="9" t="s">
        <v>104</v>
      </c>
      <c r="B8" s="79" t="str">
        <f>'ใบงาน Agilent_JOB 4.1'!F8</f>
        <v>K9801-60102</v>
      </c>
      <c r="C8" s="56" t="s">
        <v>105</v>
      </c>
      <c r="D8" s="56"/>
      <c r="E8" s="56"/>
      <c r="F8" s="56"/>
      <c r="G8" s="117" t="str">
        <f>'ใบงาน Agilent_JOB 4.1'!F9</f>
        <v>K9801-60086</v>
      </c>
      <c r="H8" s="117"/>
      <c r="I8" s="117"/>
      <c r="J8" s="117"/>
      <c r="K8" s="56"/>
      <c r="L8" s="56"/>
      <c r="M8" s="56"/>
      <c r="N8" s="56"/>
      <c r="O8" s="56"/>
      <c r="P8" s="56"/>
      <c r="Q8" s="56"/>
      <c r="R8" s="56"/>
      <c r="S8" s="56" t="s">
        <v>245</v>
      </c>
      <c r="T8" s="56"/>
      <c r="W8" s="8" t="str">
        <f>'ใบงาน Agilent_JOB 4.1'!N9</f>
        <v>PO12345</v>
      </c>
    </row>
    <row r="9" spans="1:26" s="8" customFormat="1" ht="13.5" customHeight="1">
      <c r="A9" s="56" t="s">
        <v>107</v>
      </c>
      <c r="B9" s="18">
        <f>'ใบงาน Agilent_JOB 4.1'!N8/50</f>
        <v>40</v>
      </c>
      <c r="G9" s="117" t="str">
        <f>'ใบงาน Agilent_JOB 4.2'!F9</f>
        <v>K9801-60087</v>
      </c>
      <c r="H9" s="117"/>
      <c r="I9" s="117"/>
      <c r="J9" s="117"/>
      <c r="L9" s="18"/>
      <c r="M9" s="18"/>
      <c r="N9" s="18"/>
      <c r="O9" s="18"/>
      <c r="P9" s="18"/>
      <c r="Q9" s="18"/>
      <c r="R9" s="18"/>
      <c r="S9" s="95" t="s">
        <v>106</v>
      </c>
      <c r="T9" s="95"/>
      <c r="U9" s="95"/>
      <c r="V9" s="95"/>
    </row>
    <row r="10" spans="1:26" s="8" customFormat="1" ht="13.5" customHeight="1">
      <c r="G10" s="79" t="str">
        <f>'ใบงาน Agilent_JOB 4.3'!F9</f>
        <v>K9801-60088</v>
      </c>
      <c r="H10" s="80"/>
      <c r="I10" s="80"/>
      <c r="J10" s="80"/>
      <c r="L10" s="18"/>
      <c r="M10" s="18"/>
      <c r="N10" s="18"/>
      <c r="O10" s="18"/>
      <c r="P10" s="18"/>
      <c r="Q10" s="18"/>
      <c r="R10" s="18"/>
      <c r="S10" s="95"/>
      <c r="T10" s="95"/>
      <c r="U10" s="95"/>
      <c r="V10" s="95"/>
    </row>
    <row r="11" spans="1:26" s="8" customFormat="1" ht="13.5" customHeight="1">
      <c r="A11" s="57"/>
      <c r="B11" s="57"/>
      <c r="G11" s="79" t="str">
        <f>'ใบงาน Agilent_JOB 4.4'!F9</f>
        <v>K9801-60089</v>
      </c>
      <c r="H11" s="80"/>
      <c r="I11" s="80"/>
      <c r="J11" s="80"/>
      <c r="L11" s="18"/>
      <c r="M11" s="18"/>
      <c r="N11" s="18"/>
      <c r="O11" s="18"/>
      <c r="P11" s="18"/>
      <c r="Q11" s="18"/>
      <c r="R11" s="18"/>
      <c r="S11" s="81"/>
      <c r="T11" s="81"/>
      <c r="U11" s="81"/>
      <c r="V11" s="81"/>
    </row>
    <row r="12" spans="1:26" s="8" customFormat="1" ht="13.5" customHeight="1">
      <c r="A12" s="57"/>
      <c r="B12" s="57"/>
      <c r="G12" s="79" t="str">
        <f>'ใบงาน Agilent_JOB 4.5'!F9</f>
        <v>K9801-60090</v>
      </c>
      <c r="H12" s="80"/>
      <c r="I12" s="80"/>
      <c r="J12" s="80"/>
      <c r="L12" s="18"/>
      <c r="M12" s="18"/>
      <c r="N12" s="18"/>
      <c r="O12" s="18"/>
      <c r="P12" s="18"/>
      <c r="Q12" s="18"/>
      <c r="R12" s="18"/>
      <c r="S12" s="81"/>
      <c r="T12" s="81"/>
      <c r="U12" s="81"/>
      <c r="V12" s="81"/>
    </row>
    <row r="13" spans="1:26" s="8" customFormat="1" ht="13.5" customHeight="1">
      <c r="C13" s="18"/>
      <c r="D13" s="107" t="s">
        <v>3</v>
      </c>
      <c r="E13" s="107"/>
      <c r="F13" s="107"/>
      <c r="G13" s="109" t="s">
        <v>3</v>
      </c>
      <c r="H13" s="109"/>
      <c r="I13" s="109"/>
      <c r="J13" s="109"/>
      <c r="K13" s="57"/>
      <c r="L13" s="18"/>
      <c r="M13" s="18"/>
      <c r="N13" s="18"/>
      <c r="O13" s="18"/>
      <c r="P13" s="18"/>
      <c r="Q13" s="18"/>
      <c r="R13" s="18"/>
      <c r="S13" s="81"/>
      <c r="T13" s="81"/>
      <c r="U13" s="81"/>
      <c r="V13" s="81"/>
    </row>
    <row r="14" spans="1:26" s="8" customFormat="1" ht="13.5">
      <c r="B14" s="107"/>
      <c r="C14" s="18"/>
      <c r="D14" s="18"/>
      <c r="E14" s="18"/>
      <c r="F14" s="18"/>
      <c r="G14" s="109" t="s">
        <v>3</v>
      </c>
      <c r="H14" s="109"/>
      <c r="I14" s="109"/>
      <c r="J14" s="109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6" s="8" customFormat="1" ht="13.5">
      <c r="A15" s="18" t="s">
        <v>108</v>
      </c>
      <c r="B15" s="107"/>
      <c r="C15" s="18"/>
      <c r="D15" s="18"/>
      <c r="E15" s="18"/>
      <c r="F15" s="18"/>
      <c r="G15" s="109" t="s">
        <v>3</v>
      </c>
      <c r="H15" s="109"/>
      <c r="I15" s="109"/>
      <c r="J15" s="109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6" s="8" customFormat="1" ht="13.5">
      <c r="A16" s="18"/>
      <c r="B16" s="108"/>
      <c r="C16" s="18"/>
      <c r="D16" s="18"/>
      <c r="E16" s="18"/>
      <c r="F16" s="18"/>
      <c r="G16" s="57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6" s="8" customFormat="1" ht="13.5">
      <c r="A17" s="110" t="s">
        <v>21</v>
      </c>
      <c r="B17" s="110" t="s">
        <v>109</v>
      </c>
      <c r="C17" s="97" t="s">
        <v>110</v>
      </c>
      <c r="D17" s="112"/>
      <c r="E17" s="112"/>
      <c r="F17" s="112"/>
      <c r="G17" s="112"/>
      <c r="H17" s="113"/>
      <c r="I17" s="97" t="s">
        <v>27</v>
      </c>
      <c r="J17" s="112"/>
      <c r="K17" s="112"/>
      <c r="L17" s="112"/>
      <c r="M17" s="112"/>
      <c r="N17" s="113"/>
      <c r="O17" s="97" t="s">
        <v>28</v>
      </c>
      <c r="P17" s="98"/>
      <c r="Q17" s="98"/>
      <c r="R17" s="98"/>
      <c r="S17" s="98"/>
      <c r="T17" s="99"/>
      <c r="U17" s="103" t="s">
        <v>111</v>
      </c>
      <c r="V17" s="103"/>
      <c r="W17" s="103"/>
      <c r="X17" s="103"/>
      <c r="Y17" s="103"/>
      <c r="Z17" s="103"/>
    </row>
    <row r="18" spans="1:26" s="8" customFormat="1" ht="13.5">
      <c r="A18" s="111"/>
      <c r="B18" s="110"/>
      <c r="C18" s="114"/>
      <c r="D18" s="115"/>
      <c r="E18" s="115"/>
      <c r="F18" s="115"/>
      <c r="G18" s="115"/>
      <c r="H18" s="116"/>
      <c r="I18" s="114"/>
      <c r="J18" s="115"/>
      <c r="K18" s="115"/>
      <c r="L18" s="115"/>
      <c r="M18" s="115"/>
      <c r="N18" s="116"/>
      <c r="O18" s="100"/>
      <c r="P18" s="101"/>
      <c r="Q18" s="101"/>
      <c r="R18" s="101"/>
      <c r="S18" s="101"/>
      <c r="T18" s="102"/>
      <c r="U18" s="103"/>
      <c r="V18" s="103"/>
      <c r="W18" s="103"/>
      <c r="X18" s="103"/>
      <c r="Y18" s="103"/>
      <c r="Z18" s="103"/>
    </row>
    <row r="19" spans="1:26" s="68" customFormat="1" ht="17.25">
      <c r="A19" s="104">
        <v>1</v>
      </c>
      <c r="B19" s="67" t="s">
        <v>112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s="68" customFormat="1" ht="17.25">
      <c r="A20" s="105"/>
      <c r="B20" s="67" t="s">
        <v>113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s="68" customFormat="1" ht="17.25">
      <c r="A21" s="105"/>
      <c r="B21" s="67" t="s">
        <v>114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s="68" customFormat="1" ht="17.25">
      <c r="A22" s="105"/>
      <c r="B22" s="67" t="s">
        <v>115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s="68" customFormat="1" ht="17.25">
      <c r="A23" s="106"/>
      <c r="B23" s="67" t="s">
        <v>116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s="68" customFormat="1" ht="17.25">
      <c r="A24" s="69">
        <v>2</v>
      </c>
      <c r="B24" s="70" t="s">
        <v>117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s="68" customFormat="1" ht="17.25">
      <c r="A25" s="69">
        <v>3</v>
      </c>
      <c r="B25" s="70" t="s">
        <v>118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s="68" customFormat="1" ht="17.25">
      <c r="A26" s="69">
        <v>4</v>
      </c>
      <c r="B26" s="70" t="s">
        <v>119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s="8" customFormat="1" ht="13.5">
      <c r="A27" s="9"/>
      <c r="C27" s="92"/>
      <c r="D27" s="92"/>
      <c r="E27" s="92"/>
      <c r="F27" s="92"/>
    </row>
    <row r="28" spans="1:26" s="72" customFormat="1" ht="15">
      <c r="A28" s="71"/>
      <c r="L28" s="93"/>
      <c r="M28" s="93"/>
    </row>
    <row r="29" spans="1:26" s="8" customFormat="1" ht="13.5">
      <c r="A29" s="9"/>
      <c r="L29" s="92"/>
      <c r="M29" s="92"/>
    </row>
    <row r="30" spans="1:26" s="8" customFormat="1" ht="13.5">
      <c r="A30" s="9"/>
      <c r="L30" s="92"/>
      <c r="M30" s="92"/>
    </row>
    <row r="31" spans="1:26" s="8" customFormat="1" ht="13.5">
      <c r="A31" s="9"/>
      <c r="L31" s="92"/>
      <c r="M31" s="92"/>
    </row>
  </sheetData>
  <mergeCells count="54">
    <mergeCell ref="G8:J8"/>
    <mergeCell ref="G9:J9"/>
    <mergeCell ref="D13:F13"/>
    <mergeCell ref="G13:J13"/>
    <mergeCell ref="W7:Y7"/>
    <mergeCell ref="B14:B16"/>
    <mergeCell ref="G14:J14"/>
    <mergeCell ref="G15:J15"/>
    <mergeCell ref="A17:A18"/>
    <mergeCell ref="B17:B18"/>
    <mergeCell ref="C17:H18"/>
    <mergeCell ref="I17:N18"/>
    <mergeCell ref="U17:Z18"/>
    <mergeCell ref="A19:A23"/>
    <mergeCell ref="C19:H19"/>
    <mergeCell ref="I19:N19"/>
    <mergeCell ref="O19:T19"/>
    <mergeCell ref="U19:Z19"/>
    <mergeCell ref="C20:H20"/>
    <mergeCell ref="I20:N20"/>
    <mergeCell ref="O20:T20"/>
    <mergeCell ref="C26:H26"/>
    <mergeCell ref="I26:N26"/>
    <mergeCell ref="O26:T26"/>
    <mergeCell ref="U26:Z26"/>
    <mergeCell ref="C23:H23"/>
    <mergeCell ref="I23:N23"/>
    <mergeCell ref="O23:T23"/>
    <mergeCell ref="U23:Z23"/>
    <mergeCell ref="C24:H24"/>
    <mergeCell ref="I24:N24"/>
    <mergeCell ref="O24:T24"/>
    <mergeCell ref="U24:Z24"/>
    <mergeCell ref="A1:V5"/>
    <mergeCell ref="S9:V10"/>
    <mergeCell ref="C25:H25"/>
    <mergeCell ref="I25:N25"/>
    <mergeCell ref="O25:T25"/>
    <mergeCell ref="U25:Z25"/>
    <mergeCell ref="U20:Z20"/>
    <mergeCell ref="C21:H21"/>
    <mergeCell ref="I21:N21"/>
    <mergeCell ref="O21:T21"/>
    <mergeCell ref="U21:Z21"/>
    <mergeCell ref="C22:H22"/>
    <mergeCell ref="I22:N22"/>
    <mergeCell ref="O22:T22"/>
    <mergeCell ref="U22:Z22"/>
    <mergeCell ref="O17:T18"/>
    <mergeCell ref="C27:F27"/>
    <mergeCell ref="L28:M28"/>
    <mergeCell ref="L29:M29"/>
    <mergeCell ref="L30:M30"/>
    <mergeCell ref="L31:M31"/>
  </mergeCells>
  <pageMargins left="0.45" right="0.7" top="0.75" bottom="0.75" header="0.3" footer="0.3"/>
  <pageSetup scale="7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ใบงาน Agilent_JOB 4.1</vt:lpstr>
      <vt:lpstr>ใบงาน Agilent_JOB 4.2</vt:lpstr>
      <vt:lpstr>ใบงาน Agilent_JOB 4.3</vt:lpstr>
      <vt:lpstr>ใบงาน Agilent_JOB 4.4</vt:lpstr>
      <vt:lpstr>ใบงาน Agilent_JOB 4.5</vt:lpstr>
      <vt:lpstr>A2-QC ถุง</vt:lpstr>
      <vt:lpstr>P2--QCกล่อง</vt:lpstr>
      <vt:lpstr>'ใบงาน Agilent_JOB 4.1'!Print_Area</vt:lpstr>
      <vt:lpstr>'ใบงาน Agilent_JOB 4.2'!Print_Area</vt:lpstr>
      <vt:lpstr>'ใบงาน Agilent_JOB 4.3'!Print_Area</vt:lpstr>
      <vt:lpstr>'ใบงาน Agilent_JOB 4.4'!Print_Area</vt:lpstr>
      <vt:lpstr>'ใบงาน Agilent_JOB 4.5'!Print_Area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Yada Sirimanuwat</cp:lastModifiedBy>
  <cp:lastPrinted>2026-08-03T02:50:52Z</cp:lastPrinted>
  <dcterms:created xsi:type="dcterms:W3CDTF">2022-12-02T03:16:26Z</dcterms:created>
  <dcterms:modified xsi:type="dcterms:W3CDTF">2026-08-03T05:14:32Z</dcterms:modified>
</cp:coreProperties>
</file>