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si\Downloads\Compressed\Final version of JOB ORDRE_ Your ref_ AGILENT\"/>
    </mc:Choice>
  </mc:AlternateContent>
  <xr:revisionPtr revIDLastSave="0" documentId="13_ncr:1_{F9342C63-91DD-417C-BB12-8F6F9C18E990}" xr6:coauthVersionLast="47" xr6:coauthVersionMax="47" xr10:uidLastSave="{00000000-0000-0000-0000-000000000000}"/>
  <bookViews>
    <workbookView xWindow="-27615" yWindow="2940" windowWidth="23040" windowHeight="12120" tabRatio="958" xr2:uid="{4F180DBB-2D27-44A5-BB20-72766F3B0AE8}"/>
  </bookViews>
  <sheets>
    <sheet name="ใบงาน Agilent_JOB 11" sheetId="15" r:id="rId1"/>
    <sheet name="A2-QC ถุง" sheetId="16" r:id="rId2"/>
    <sheet name="P2-QC กล่อง" sheetId="17" r:id="rId3"/>
  </sheets>
  <definedNames>
    <definedName name="_xlnm.Print_Area" localSheetId="0">'ใบงาน Agilent_JOB 11'!$A$1:$O$37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7" l="1"/>
  <c r="W7" i="17"/>
  <c r="W7" i="16"/>
  <c r="G7" i="16"/>
  <c r="X8" i="17"/>
  <c r="B10" i="17"/>
  <c r="B10" i="16"/>
  <c r="G8" i="17"/>
  <c r="B8" i="17"/>
  <c r="G8" i="16"/>
  <c r="B8" i="16"/>
  <c r="D22" i="15"/>
  <c r="D21" i="15"/>
  <c r="E17" i="15" l="1"/>
  <c r="G17" i="15" s="1"/>
  <c r="H17" i="15" s="1"/>
  <c r="F30" i="15"/>
</calcChain>
</file>

<file path=xl/sharedStrings.xml><?xml version="1.0" encoding="utf-8"?>
<sst xmlns="http://schemas.openxmlformats.org/spreadsheetml/2006/main" count="360" uniqueCount="229">
  <si>
    <t>ABW00007</t>
  </si>
  <si>
    <t>+5.00</t>
  </si>
  <si>
    <t>Tolerance</t>
  </si>
  <si>
    <t xml:space="preserve"> </t>
  </si>
  <si>
    <t>วันที่</t>
  </si>
  <si>
    <t>ลูกค้า</t>
  </si>
  <si>
    <t>แผนก</t>
  </si>
  <si>
    <t>สายยาง</t>
  </si>
  <si>
    <t>S</t>
  </si>
  <si>
    <t>สติกเกอร์</t>
  </si>
  <si>
    <t>5 x 8 ซม</t>
  </si>
  <si>
    <t>จำนวนชุดที่ต้องการ</t>
  </si>
  <si>
    <t>จำนวน/ ชุด</t>
  </si>
  <si>
    <t>รุ่น</t>
  </si>
  <si>
    <t>รายละเอียด</t>
  </si>
  <si>
    <t>ลำดับ</t>
  </si>
  <si>
    <t>รายละเอียดสติกเกอร์</t>
  </si>
  <si>
    <t>รายละเอียดบนสติกเกอร์</t>
  </si>
  <si>
    <t>ขนาดถุง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</si>
  <si>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</si>
  <si>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</si>
  <si>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จำนวนที่ผ่าน</t>
  </si>
  <si>
    <t>จำนวนที่ไม่ผ่าน</t>
  </si>
  <si>
    <t>ความยาวที่รับได้</t>
  </si>
  <si>
    <t>ความยาวที่ต้องการ</t>
  </si>
  <si>
    <t>ไม้บรรทัดเหล็ก</t>
  </si>
  <si>
    <t>การตรวจสอบคุณภาพการบรรจุ</t>
  </si>
  <si>
    <t>จำนวนสายยาง/ ถุง</t>
  </si>
  <si>
    <t>วัสดุที่เบิกใช้ในการตัดสายยาง</t>
  </si>
  <si>
    <t>แท่งพลาสติคเพื่อใช้ตัดสายยาง</t>
  </si>
  <si>
    <t>จำนวนกล่องของสายยางที่เบิกทั้งหมด</t>
  </si>
  <si>
    <t>จำนวนสายยางที่เบิกเป็นมิลลิเมตร</t>
  </si>
  <si>
    <t>ควายยาวสายยาง(ฟุต)ต่อกล่อง</t>
  </si>
  <si>
    <t>ความยาวสายยางที่สามารถยอมรับได้</t>
  </si>
  <si>
    <t xml:space="preserve">ใบงานตัดสายยางและ บรรจุ  </t>
  </si>
  <si>
    <t>อาจิแลนจ์ (Agilent)</t>
  </si>
  <si>
    <t>ผลิต (Production)</t>
  </si>
  <si>
    <t xml:space="preserve">                 พนักงานตรวจสอบ </t>
  </si>
  <si>
    <t>กล่องพลาสติคใส่สายยางพร้อมฝาปิดกันฝุ่น</t>
  </si>
  <si>
    <t>1 เส้น</t>
  </si>
  <si>
    <t>K9801-60095</t>
  </si>
  <si>
    <t>EW-96420-16</t>
  </si>
  <si>
    <t>1 กล่อง</t>
  </si>
  <si>
    <t>ABW0007</t>
  </si>
  <si>
    <t>Tubing, Pressure Pump to Dispense Mixer</t>
  </si>
  <si>
    <t>JOB 11</t>
  </si>
  <si>
    <t>OD/ID: 1/4"(6.3500mm) 1/8"(3.1750mm)</t>
  </si>
  <si>
    <t>ขนาด 60 เซนติเมตร</t>
  </si>
  <si>
    <t>349.25-354.25</t>
  </si>
  <si>
    <t>จำนวนที่ตรวจสอบความยาวของสายยาง (MM)</t>
  </si>
  <si>
    <t>ABW00007/K9801-60095</t>
  </si>
  <si>
    <t>ถุงพลาสติค S</t>
  </si>
  <si>
    <t>4x6 นิ้ว</t>
  </si>
  <si>
    <t>แผ่นยางสำหรับกำจัดฝุ่น</t>
  </si>
  <si>
    <t>1 แผ่น</t>
  </si>
  <si>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</si>
  <si>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Lot No:</t>
  </si>
  <si>
    <t>เลขที่ใบงาน RI</t>
  </si>
  <si>
    <t>ลายเซ็นต์</t>
  </si>
  <si>
    <t>ถุงพลาสติค packing</t>
  </si>
  <si>
    <t>1 อัน</t>
  </si>
  <si>
    <t>จำนวนสายยางที่ตัดได้(เส้น)</t>
  </si>
  <si>
    <t xml:space="preserve">ตารางเบิกสายยาง </t>
  </si>
  <si>
    <t xml:space="preserve">วันที่ </t>
  </si>
  <si>
    <t>จำนวน/ม้วน</t>
  </si>
  <si>
    <t>Lot number ของสายยาง</t>
  </si>
  <si>
    <t>ในกรณีใช้สายยางไม่เต็มม้วน จะต้องนำไปใช้งานต่อสำหรับ JOB อื่นๆ</t>
  </si>
  <si>
    <t>การตรวจสอบคุณภาพก่อนบรรจุ  / QC in process</t>
  </si>
  <si>
    <r>
      <t>บริษัท แวตสก้า จำกัด/ Vatska Company Limited</t>
    </r>
    <r>
      <rPr>
        <sz val="18"/>
        <color theme="1"/>
        <rFont val="Angsana New"/>
        <family val="1"/>
      </rPr>
      <t xml:space="preserve">
53/2 ต. อ้อมเกร็ด อ. ปากเกร็ด จ. นนทบุรี 11120/ 53/2 T. Om-Kred A. Pakkred 
Nonthaburi 11120 Thailand
โทร. +662 9244161 อีเมล: sales@vatska.com/ Tel: +662 9244161 E-mail: sales@vatska.com </t>
    </r>
  </si>
  <si>
    <t xml:space="preserve">เอกสารตรวจสอบผลิตภัณฑ์ QC (Quality Control) </t>
  </si>
  <si>
    <t>Lot no</t>
  </si>
  <si>
    <t>MPN</t>
  </si>
  <si>
    <t>Children no.</t>
  </si>
  <si>
    <t>Copy to sticker</t>
  </si>
  <si>
    <t>จำนวนถุงที่ผลิต</t>
  </si>
  <si>
    <t>QR CODE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</si>
  <si>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</si>
  <si>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</si>
  <si>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</si>
  <si>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</si>
  <si>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</si>
  <si>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</si>
  <si>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</si>
  <si>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</si>
  <si>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</si>
  <si>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</si>
  <si>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</si>
  <si>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</si>
  <si>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</si>
  <si>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</si>
  <si>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</si>
  <si>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</si>
  <si>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</si>
  <si>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</si>
  <si>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</si>
  <si>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</si>
  <si>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</si>
  <si>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</si>
  <si>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</si>
  <si>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</si>
  <si>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</si>
  <si>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</si>
  <si>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</si>
  <si>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</si>
  <si>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</si>
  <si>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</si>
  <si>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</si>
  <si>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</si>
  <si>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</si>
  <si>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</si>
  <si>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</si>
  <si>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</si>
  <si>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</si>
  <si>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</si>
  <si>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</si>
  <si>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</si>
  <si>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</si>
  <si>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</si>
  <si>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</si>
  <si>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</si>
  <si>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</si>
  <si>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</si>
  <si>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</si>
  <si>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</si>
  <si>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</si>
  <si>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</si>
  <si>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</si>
  <si>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</si>
  <si>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</si>
  <si>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ABW00019</t>
  </si>
  <si>
    <t>K9801-60082</t>
  </si>
  <si>
    <t>job 2.2</t>
  </si>
  <si>
    <t>119.82 -120.82</t>
  </si>
  <si>
    <t>STHT-C-125-4F</t>
  </si>
  <si>
    <t>K9801-60083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</si>
  <si>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</si>
  <si>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</si>
  <si>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</si>
  <si>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</si>
  <si>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</si>
  <si>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</si>
  <si>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</si>
  <si>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</si>
  <si>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</si>
  <si>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</si>
  <si>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job 3.4</t>
  </si>
  <si>
    <t>50.8 -55.8</t>
  </si>
  <si>
    <t>K9801-60096</t>
  </si>
  <si>
    <t>4
K9801-60102</t>
  </si>
  <si>
    <t>job 4.1</t>
  </si>
  <si>
    <t>584.2 -589.2</t>
  </si>
  <si>
    <t>ABW00012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</si>
  <si>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</si>
  <si>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</si>
  <si>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</si>
  <si>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</si>
  <si>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</si>
  <si>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</si>
  <si>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</si>
  <si>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</si>
  <si>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</si>
  <si>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</si>
  <si>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</si>
  <si>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</si>
  <si>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</si>
  <si>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</si>
  <si>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</si>
  <si>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</si>
  <si>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</si>
  <si>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</si>
  <si>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</si>
  <si>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</si>
  <si>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</si>
  <si>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</si>
  <si>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</si>
  <si>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</si>
  <si>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</si>
  <si>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</si>
  <si>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</si>
  <si>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</si>
  <si>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</si>
  <si>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</si>
  <si>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</si>
  <si>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</si>
  <si>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</si>
  <si>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</si>
  <si>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</si>
  <si>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</si>
  <si>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</si>
  <si>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</si>
  <si>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</si>
  <si>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</si>
  <si>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</si>
  <si>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</si>
  <si>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</si>
  <si>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</si>
  <si>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</si>
  <si>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</si>
  <si>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</si>
  <si>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</si>
  <si>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</si>
  <si>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</si>
  <si>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</si>
  <si>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</si>
  <si>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</si>
  <si>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</si>
  <si>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</si>
  <si>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</si>
  <si>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</si>
  <si>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</si>
  <si>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</si>
  <si>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</si>
  <si>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</si>
  <si>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</si>
  <si>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</si>
  <si>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</si>
  <si>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</si>
  <si>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</si>
  <si>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</si>
  <si>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</si>
  <si>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</si>
  <si>
    <t>AGA</t>
  </si>
  <si>
    <t>MPN:</t>
  </si>
  <si>
    <t>Children PN:</t>
  </si>
  <si>
    <t>Customer PO</t>
  </si>
  <si>
    <t>-</t>
  </si>
  <si>
    <t>PO12345</t>
  </si>
  <si>
    <t>CUSTOMER PO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</si>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</sst>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sz val="18"/>
      <color theme="1"/>
      <name val="Angsana New"/>
      <family val="1"/>
    </font>
    <font>
      <sz val="9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9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164" fontId="7" fillId="2" borderId="1" xfId="3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7" xfId="0" applyFont="1" applyBorder="1"/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4" fillId="0" borderId="0" xfId="0" applyFont="1"/>
    <xf numFmtId="0" fontId="16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0" xfId="0" applyFont="1"/>
    <xf numFmtId="0" fontId="16" fillId="0" borderId="14" xfId="0" applyFont="1" applyBorder="1" applyAlignment="1">
      <alignment horizontal="left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/>
    <xf numFmtId="0" fontId="0" fillId="0" borderId="0" xfId="0" applyAlignment="1">
      <alignment horizontal="center"/>
    </xf>
    <xf numFmtId="0" fontId="7" fillId="2" borderId="0" xfId="0" applyFont="1" applyFill="1"/>
    <xf numFmtId="0" fontId="23" fillId="6" borderId="7" xfId="0" applyFont="1" applyFill="1" applyBorder="1"/>
    <xf numFmtId="0" fontId="23" fillId="6" borderId="7" xfId="0" applyFont="1" applyFill="1" applyBorder="1" applyAlignment="1">
      <alignment horizontal="center"/>
    </xf>
    <xf numFmtId="0" fontId="7" fillId="6" borderId="7" xfId="0" applyFont="1" applyFill="1" applyBorder="1"/>
    <xf numFmtId="0" fontId="24" fillId="2" borderId="0" xfId="0" applyFont="1" applyFill="1"/>
    <xf numFmtId="0" fontId="7" fillId="6" borderId="0" xfId="0" applyFont="1" applyFill="1" applyAlignment="1">
      <alignment horizontal="center"/>
    </xf>
    <xf numFmtId="0" fontId="20" fillId="2" borderId="0" xfId="0" applyFont="1" applyFill="1" applyAlignment="1">
      <alignment horizontal="left" vertical="center"/>
    </xf>
    <xf numFmtId="0" fontId="7" fillId="6" borderId="0" xfId="0" applyFont="1" applyFill="1"/>
    <xf numFmtId="165" fontId="7" fillId="6" borderId="0" xfId="3" applyNumberFormat="1" applyFont="1" applyFill="1" applyAlignment="1">
      <alignment horizontal="center" vertical="center"/>
    </xf>
    <xf numFmtId="165" fontId="7" fillId="0" borderId="0" xfId="3" applyNumberFormat="1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13" xfId="0" applyFont="1" applyBorder="1" applyAlignment="1">
      <alignment horizontal="center" vertical="center" wrapText="1"/>
    </xf>
    <xf numFmtId="0" fontId="24" fillId="0" borderId="0" xfId="0" applyFont="1"/>
    <xf numFmtId="0" fontId="7" fillId="2" borderId="7" xfId="0" applyFont="1" applyFill="1" applyBorder="1"/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top" wrapText="1"/>
    </xf>
    <xf numFmtId="0" fontId="17" fillId="5" borderId="0" xfId="0" applyFont="1" applyFill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right" vertical="center" wrapText="1"/>
    </xf>
    <xf numFmtId="0" fontId="25" fillId="0" borderId="3" xfId="0" applyFont="1" applyBorder="1" applyAlignment="1">
      <alignment horizontal="right" vertical="center" wrapText="1"/>
    </xf>
    <xf numFmtId="0" fontId="25" fillId="0" borderId="0" xfId="0" applyFont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19" fillId="0" borderId="14" xfId="0" applyFont="1" applyBorder="1" applyAlignment="1">
      <alignment horizontal="center" wrapText="1"/>
    </xf>
    <xf numFmtId="0" fontId="19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/>
    </xf>
    <xf numFmtId="0" fontId="8" fillId="2" borderId="6" xfId="0" applyFont="1" applyFill="1" applyBorder="1" applyAlignment="1">
      <alignment horizontal="center" vertical="top"/>
    </xf>
    <xf numFmtId="0" fontId="20" fillId="2" borderId="2" xfId="0" applyFont="1" applyFill="1" applyBorder="1" applyAlignment="1">
      <alignment horizontal="center" vertical="top" wrapText="1"/>
    </xf>
    <xf numFmtId="0" fontId="20" fillId="2" borderId="6" xfId="0" applyFont="1" applyFill="1" applyBorder="1" applyAlignment="1">
      <alignment horizontal="center" vertical="top" wrapText="1"/>
    </xf>
    <xf numFmtId="0" fontId="7" fillId="2" borderId="13" xfId="0" quotePrefix="1" applyFont="1" applyFill="1" applyBorder="1" applyAlignment="1">
      <alignment horizontal="center"/>
    </xf>
    <xf numFmtId="0" fontId="7" fillId="2" borderId="12" xfId="0" quotePrefix="1" applyFont="1" applyFill="1" applyBorder="1" applyAlignment="1">
      <alignment horizontal="center"/>
    </xf>
    <xf numFmtId="0" fontId="7" fillId="2" borderId="14" xfId="0" quotePrefix="1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7" fillId="0" borderId="7" xfId="0" applyFont="1" applyBorder="1" applyAlignment="1">
      <alignment horizontal="center" vertical="center"/>
    </xf>
  </cellXfs>
  <cellStyles count="4">
    <cellStyle name="Comma" xfId="3" builtinId="3"/>
    <cellStyle name="Comma 2" xfId="2" xr:uid="{B96F9A27-C494-40C5-BEFB-F01D0E97589E}"/>
    <cellStyle name="Normal" xfId="0" builtinId="0"/>
    <cellStyle name="Normal 2" xfId="1" xr:uid="{03F2BEC5-C99A-4489-AA3B-3890FFBA2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0</xdr:row>
      <xdr:rowOff>9525</xdr:rowOff>
    </xdr:from>
    <xdr:to>
      <xdr:col>14</xdr:col>
      <xdr:colOff>692150</xdr:colOff>
      <xdr:row>1</xdr:row>
      <xdr:rowOff>139700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3851A5-F788-4269-A590-37AA8D180198}"/>
            </a:ext>
          </a:extLst>
        </xdr:cNvPr>
        <xdr:cNvSpPr txBox="1"/>
      </xdr:nvSpPr>
      <xdr:spPr>
        <a:xfrm>
          <a:off x="10610850" y="161925"/>
          <a:ext cx="673100" cy="425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A1</a:t>
          </a:r>
        </a:p>
      </xdr:txBody>
    </xdr:sp>
    <xdr:clientData/>
  </xdr:twoCellAnchor>
  <xdr:twoCellAnchor editAs="oneCell">
    <xdr:from>
      <xdr:col>1</xdr:col>
      <xdr:colOff>657225</xdr:colOff>
      <xdr:row>0</xdr:row>
      <xdr:rowOff>123825</xdr:rowOff>
    </xdr:from>
    <xdr:to>
      <xdr:col>1</xdr:col>
      <xdr:colOff>1289050</xdr:colOff>
      <xdr:row>4</xdr:row>
      <xdr:rowOff>28574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EE532-36A4-494B-BAFF-82E22AC378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5</xdr:row>
      <xdr:rowOff>23811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3D4EB-91BC-488D-BD92-1E0C56EE94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88" y="190500"/>
          <a:ext cx="705644" cy="7477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4F02FD-B6A3-4562-99FE-362A07DE20D4}"/>
            </a:ext>
          </a:extLst>
        </xdr:cNvPr>
        <xdr:cNvSpPr txBox="1"/>
      </xdr:nvSpPr>
      <xdr:spPr>
        <a:xfrm>
          <a:off x="9898063" y="73025"/>
          <a:ext cx="11969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A 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843983</xdr:colOff>
      <xdr:row>5</xdr:row>
      <xdr:rowOff>61911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E85F7-7922-47C1-9E52-6824C8CFAA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225" y="190500"/>
          <a:ext cx="705644" cy="785811"/>
        </a:xfrm>
        <a:prstGeom prst="rect">
          <a:avLst/>
        </a:prstGeom>
        <a:noFill/>
      </xdr:spPr>
    </xdr:pic>
    <xdr:clientData/>
  </xdr:twoCellAnchor>
  <xdr:twoCellAnchor>
    <xdr:from>
      <xdr:col>22</xdr:col>
      <xdr:colOff>25400</xdr:colOff>
      <xdr:row>0</xdr:row>
      <xdr:rowOff>73025</xdr:rowOff>
    </xdr:from>
    <xdr:to>
      <xdr:col>25</xdr:col>
      <xdr:colOff>50800</xdr:colOff>
      <xdr:row>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59C823-375B-4400-94C4-CEEE47082639}"/>
            </a:ext>
          </a:extLst>
        </xdr:cNvPr>
        <xdr:cNvSpPr txBox="1"/>
      </xdr:nvSpPr>
      <xdr:spPr>
        <a:xfrm>
          <a:off x="10650538" y="73025"/>
          <a:ext cx="108267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 P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03C9-AA2E-4159-9F64-5042BD889865}">
  <sheetPr>
    <pageSetUpPr fitToPage="1"/>
  </sheetPr>
  <dimension ref="A1:O60"/>
  <sheetViews>
    <sheetView tabSelected="1" zoomScaleNormal="100" workbookViewId="0">
      <selection activeCell="F13" sqref="F13"/>
    </sheetView>
  </sheetViews>
  <sheetFormatPr defaultColWidth="8.77734375" defaultRowHeight="11.4"/>
  <cols>
    <col min="1" max="1" width="8.77734375" style="2"/>
    <col min="2" max="2" width="21.21875" style="1" customWidth="1"/>
    <col min="3" max="3" width="26.77734375" style="1" customWidth="1"/>
    <col min="4" max="4" width="12.77734375" style="2" customWidth="1"/>
    <col min="5" max="5" width="14.88671875" style="2" hidden="1" customWidth="1"/>
    <col min="6" max="6" width="12.77734375" style="2" customWidth="1"/>
    <col min="7" max="7" width="14.77734375" style="1" customWidth="1"/>
    <col min="8" max="8" width="10.77734375" style="1" customWidth="1"/>
    <col min="9" max="9" width="12.77734375" style="1" customWidth="1"/>
    <col min="10" max="10" width="12.77734375" style="2" customWidth="1"/>
    <col min="11" max="11" width="14.77734375" style="2" customWidth="1"/>
    <col min="12" max="13" width="8.77734375" style="1" customWidth="1"/>
    <col min="14" max="15" width="13.77734375" style="2" customWidth="1"/>
    <col min="16" max="16384" width="8.77734375" style="1"/>
  </cols>
  <sheetData>
    <row r="1" spans="1:15" ht="23.25" customHeight="1">
      <c r="A1" s="110" t="s">
        <v>55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</row>
    <row r="2" spans="1:15" ht="11.7" customHeight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5" ht="11.7" customHeight="1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r="4" spans="1:15" ht="11.7" customHeight="1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</row>
    <row r="5" spans="1:15" ht="11.7" customHeight="1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1:15" ht="22.8">
      <c r="A6" s="4" t="s">
        <v>34</v>
      </c>
      <c r="N6" s="5"/>
      <c r="O6" s="5" t="s">
        <v>45</v>
      </c>
    </row>
    <row r="7" spans="1:15" s="7" customFormat="1" ht="21" customHeight="1">
      <c r="A7" s="8" t="s">
        <v>4</v>
      </c>
      <c r="B7" s="62"/>
      <c r="C7" s="35"/>
      <c r="D7" s="8" t="s">
        <v>56</v>
      </c>
      <c r="E7" s="8"/>
      <c r="F7" s="63" t="s">
        <v>228</v>
      </c>
      <c r="G7" s="63"/>
      <c r="J7" s="8"/>
      <c r="K7" s="7" t="s">
        <v>57</v>
      </c>
      <c r="L7" s="35" t="s">
        <v>221</v>
      </c>
      <c r="M7" s="64" t="s">
        <v>228</v>
      </c>
      <c r="N7" s="62"/>
      <c r="O7" s="8"/>
    </row>
    <row r="8" spans="1:15" s="7" customFormat="1" ht="21" customHeight="1">
      <c r="A8" s="8" t="s">
        <v>6</v>
      </c>
      <c r="B8" s="7" t="s">
        <v>36</v>
      </c>
      <c r="D8" s="8" t="s">
        <v>222</v>
      </c>
      <c r="E8" s="8"/>
      <c r="F8" s="67" t="s">
        <v>40</v>
      </c>
      <c r="J8" s="8"/>
      <c r="K8" s="7" t="s">
        <v>11</v>
      </c>
      <c r="M8" s="68"/>
      <c r="N8" s="69">
        <v>2000</v>
      </c>
      <c r="O8" s="8"/>
    </row>
    <row r="9" spans="1:15" s="7" customFormat="1" ht="21" customHeight="1">
      <c r="A9" s="8" t="s">
        <v>5</v>
      </c>
      <c r="B9" s="7" t="s">
        <v>35</v>
      </c>
      <c r="D9" s="7" t="s">
        <v>223</v>
      </c>
      <c r="E9" s="8"/>
      <c r="F9" s="65" t="s">
        <v>225</v>
      </c>
      <c r="J9" s="8"/>
      <c r="K9" s="8" t="s">
        <v>224</v>
      </c>
      <c r="M9" s="66"/>
      <c r="N9" s="66" t="s">
        <v>226</v>
      </c>
      <c r="O9" s="8"/>
    </row>
    <row r="10" spans="1:15" s="17" customFormat="1" ht="21" customHeight="1">
      <c r="A10" s="16"/>
      <c r="D10" s="16"/>
      <c r="E10" s="16"/>
      <c r="F10" s="16"/>
      <c r="J10" s="16"/>
      <c r="K10" s="16"/>
      <c r="N10" s="16"/>
      <c r="O10" s="16"/>
    </row>
    <row r="11" spans="1:15" s="17" customFormat="1" ht="21" customHeight="1">
      <c r="A11" s="16"/>
      <c r="B11" s="37" t="s">
        <v>43</v>
      </c>
      <c r="C11" s="37" t="s">
        <v>46</v>
      </c>
      <c r="D11" s="38"/>
      <c r="E11" s="16"/>
      <c r="F11" s="16"/>
      <c r="J11" s="16"/>
      <c r="K11" s="8"/>
    </row>
    <row r="12" spans="1:15" s="17" customFormat="1" ht="21" customHeight="1">
      <c r="A12" s="16"/>
      <c r="B12" s="17" t="s">
        <v>75</v>
      </c>
      <c r="D12" s="16"/>
      <c r="E12" s="16"/>
      <c r="F12" s="16"/>
      <c r="J12" s="16"/>
      <c r="K12" s="8"/>
      <c r="L12" s="16"/>
      <c r="M12" s="16"/>
      <c r="N12" s="16"/>
      <c r="O12" s="16"/>
    </row>
    <row r="13" spans="1:15" s="17" customFormat="1" ht="21" customHeight="1">
      <c r="A13" s="18" t="s">
        <v>28</v>
      </c>
      <c r="D13" s="16"/>
      <c r="E13" s="16"/>
      <c r="F13" s="16"/>
      <c r="J13" s="16"/>
      <c r="K13" s="8"/>
      <c r="L13" s="7"/>
      <c r="N13" s="16"/>
      <c r="O13" s="16"/>
    </row>
    <row r="14" spans="1:15" s="17" customFormat="1" ht="21" customHeight="1">
      <c r="A14" s="16"/>
      <c r="D14" s="16"/>
      <c r="E14" s="16"/>
      <c r="F14" s="16"/>
      <c r="J14" s="16"/>
      <c r="K14" s="8"/>
      <c r="L14" s="7"/>
      <c r="N14" s="16"/>
      <c r="O14" s="16"/>
    </row>
    <row r="15" spans="1:15" s="73" customFormat="1" ht="21" customHeight="1">
      <c r="A15" s="108" t="s">
        <v>15</v>
      </c>
      <c r="B15" s="120" t="s">
        <v>14</v>
      </c>
      <c r="C15" s="108" t="s">
        <v>13</v>
      </c>
      <c r="D15" s="108" t="s">
        <v>12</v>
      </c>
      <c r="E15" s="122" t="s">
        <v>31</v>
      </c>
      <c r="F15" s="118" t="s">
        <v>32</v>
      </c>
      <c r="G15" s="81" t="s">
        <v>31</v>
      </c>
      <c r="H15" s="115" t="s">
        <v>30</v>
      </c>
      <c r="J15" s="74"/>
      <c r="K15" s="117"/>
    </row>
    <row r="16" spans="1:15" s="73" customFormat="1" ht="21" customHeight="1">
      <c r="A16" s="108"/>
      <c r="B16" s="121"/>
      <c r="C16" s="108"/>
      <c r="D16" s="108"/>
      <c r="E16" s="123"/>
      <c r="F16" s="119"/>
      <c r="G16" s="114"/>
      <c r="H16" s="116"/>
      <c r="J16" s="74"/>
      <c r="K16" s="117"/>
    </row>
    <row r="17" spans="1:15" s="17" customFormat="1" ht="21" customHeight="1">
      <c r="A17" s="33">
        <v>1</v>
      </c>
      <c r="B17" s="39" t="s">
        <v>7</v>
      </c>
      <c r="C17" s="40" t="s">
        <v>0</v>
      </c>
      <c r="D17" s="36">
        <v>1</v>
      </c>
      <c r="E17" s="21">
        <f>D17*N8*(I44+J44)</f>
        <v>708500</v>
      </c>
      <c r="F17" s="10">
        <v>50</v>
      </c>
      <c r="G17" s="32">
        <f>E17</f>
        <v>708500</v>
      </c>
      <c r="H17" s="32">
        <f>G17*0.00328/F17</f>
        <v>46.477600000000002</v>
      </c>
      <c r="K17" s="111" t="s">
        <v>73</v>
      </c>
      <c r="L17" s="7"/>
    </row>
    <row r="18" spans="1:15" s="17" customFormat="1" ht="21" customHeight="1">
      <c r="A18" s="12">
        <v>2</v>
      </c>
      <c r="B18" s="34" t="s">
        <v>29</v>
      </c>
      <c r="C18" s="22"/>
      <c r="D18" s="12"/>
      <c r="E18" s="12"/>
      <c r="F18" s="12"/>
      <c r="G18" s="22"/>
      <c r="H18" s="22"/>
      <c r="J18" s="16"/>
      <c r="K18" s="111"/>
      <c r="L18" s="7"/>
      <c r="N18" s="16"/>
      <c r="O18" s="16"/>
    </row>
    <row r="19" spans="1:15" s="17" customFormat="1" ht="21" customHeight="1">
      <c r="A19" s="12">
        <v>3</v>
      </c>
      <c r="B19" s="22" t="s">
        <v>38</v>
      </c>
      <c r="C19" s="22"/>
      <c r="D19" s="12" t="s">
        <v>42</v>
      </c>
      <c r="E19" s="12"/>
      <c r="F19" s="12"/>
      <c r="G19" s="22"/>
      <c r="H19" s="22"/>
      <c r="J19" s="16"/>
      <c r="K19" s="6"/>
      <c r="L19" s="7"/>
      <c r="N19" s="16"/>
      <c r="O19" s="16"/>
    </row>
    <row r="20" spans="1:15" s="17" customFormat="1" ht="21" customHeight="1">
      <c r="A20" s="12">
        <v>4</v>
      </c>
      <c r="B20" s="112" t="s">
        <v>53</v>
      </c>
      <c r="C20" s="113"/>
      <c r="D20" s="12" t="s">
        <v>54</v>
      </c>
      <c r="E20" s="12"/>
      <c r="F20" s="12"/>
      <c r="G20" s="22"/>
      <c r="H20" s="22"/>
      <c r="J20" s="16"/>
      <c r="K20" s="6"/>
      <c r="L20" s="7"/>
      <c r="N20" s="16"/>
      <c r="O20" s="16"/>
    </row>
    <row r="21" spans="1:15" s="17" customFormat="1" ht="21" customHeight="1">
      <c r="A21" s="12">
        <v>5</v>
      </c>
      <c r="B21" s="40" t="s">
        <v>51</v>
      </c>
      <c r="C21" s="36" t="s">
        <v>52</v>
      </c>
      <c r="D21" s="12">
        <f>N8</f>
        <v>2000</v>
      </c>
      <c r="E21" s="12"/>
      <c r="F21" s="12"/>
      <c r="G21" s="22"/>
      <c r="H21" s="22"/>
      <c r="J21" s="16"/>
      <c r="K21" s="6"/>
      <c r="L21" s="7"/>
      <c r="N21" s="16"/>
      <c r="O21" s="16"/>
    </row>
    <row r="22" spans="1:15" s="17" customFormat="1" ht="21" customHeight="1">
      <c r="A22" s="12">
        <v>6</v>
      </c>
      <c r="B22" s="22" t="s">
        <v>9</v>
      </c>
      <c r="C22" s="12" t="s">
        <v>10</v>
      </c>
      <c r="D22" s="12">
        <f>N8</f>
        <v>2000</v>
      </c>
      <c r="E22" s="12"/>
      <c r="F22" s="12"/>
      <c r="G22" s="22"/>
      <c r="H22" s="22"/>
      <c r="J22" s="16"/>
      <c r="K22" s="6"/>
      <c r="L22" s="7"/>
      <c r="N22" s="16"/>
      <c r="O22" s="16"/>
    </row>
    <row r="23" spans="1:15" s="17" customFormat="1" ht="21" customHeight="1">
      <c r="A23" s="12">
        <v>7</v>
      </c>
      <c r="B23" s="22" t="s">
        <v>25</v>
      </c>
      <c r="C23" s="12" t="s">
        <v>47</v>
      </c>
      <c r="D23" s="12" t="s">
        <v>60</v>
      </c>
      <c r="E23" s="12"/>
      <c r="F23" s="12"/>
      <c r="G23" s="22"/>
      <c r="H23" s="22"/>
      <c r="J23" s="16"/>
      <c r="K23" s="6"/>
      <c r="L23" s="7"/>
      <c r="N23" s="16"/>
      <c r="O23" s="16"/>
    </row>
    <row r="24" spans="1:15" s="17" customFormat="1" ht="21" customHeight="1">
      <c r="A24" s="12">
        <v>8</v>
      </c>
      <c r="B24" s="22" t="s">
        <v>59</v>
      </c>
      <c r="C24" s="22"/>
      <c r="D24" s="12"/>
      <c r="E24" s="12"/>
      <c r="F24" s="12"/>
      <c r="G24" s="22"/>
      <c r="H24" s="22"/>
      <c r="J24" s="16"/>
      <c r="K24" s="6"/>
      <c r="L24" s="41"/>
      <c r="M24" s="42"/>
    </row>
    <row r="25" spans="1:15" s="17" customFormat="1" ht="21" customHeight="1">
      <c r="A25" s="16"/>
      <c r="D25" s="16"/>
      <c r="E25" s="16"/>
      <c r="F25" s="16"/>
      <c r="J25" s="16"/>
      <c r="K25" s="16"/>
      <c r="N25" s="16"/>
      <c r="O25" s="16"/>
    </row>
    <row r="26" spans="1:15" s="17" customFormat="1" ht="21" customHeight="1">
      <c r="A26" s="3" t="s">
        <v>67</v>
      </c>
      <c r="D26" s="16"/>
      <c r="E26" s="16"/>
      <c r="F26" s="16"/>
      <c r="I26" s="37" t="s">
        <v>66</v>
      </c>
      <c r="J26" s="38"/>
      <c r="K26" s="37"/>
      <c r="L26" s="37"/>
      <c r="M26" s="38"/>
      <c r="N26" s="37"/>
    </row>
    <row r="27" spans="1:15" s="17" customFormat="1" ht="21" customHeight="1">
      <c r="A27" s="16"/>
      <c r="D27" s="16"/>
      <c r="E27" s="16"/>
      <c r="F27" s="16"/>
      <c r="J27" s="16"/>
      <c r="K27" s="16"/>
      <c r="N27" s="16"/>
      <c r="O27" s="16"/>
    </row>
    <row r="28" spans="1:15" s="73" customFormat="1" ht="21" customHeight="1">
      <c r="A28" s="108" t="s">
        <v>15</v>
      </c>
      <c r="B28" s="108" t="s">
        <v>14</v>
      </c>
      <c r="C28" s="108" t="s">
        <v>13</v>
      </c>
      <c r="D28" s="108" t="s">
        <v>12</v>
      </c>
      <c r="E28" s="71"/>
      <c r="F28" s="109" t="s">
        <v>61</v>
      </c>
      <c r="G28" s="81" t="s">
        <v>62</v>
      </c>
      <c r="H28" s="81"/>
      <c r="I28" s="81"/>
      <c r="J28" s="82"/>
      <c r="K28" s="81" t="s">
        <v>49</v>
      </c>
      <c r="L28" s="81"/>
      <c r="M28" s="81"/>
      <c r="N28" s="81" t="s">
        <v>58</v>
      </c>
      <c r="O28" s="76"/>
    </row>
    <row r="29" spans="1:15" s="73" customFormat="1" ht="21" customHeight="1">
      <c r="A29" s="108"/>
      <c r="B29" s="108"/>
      <c r="C29" s="108"/>
      <c r="D29" s="108"/>
      <c r="E29" s="71"/>
      <c r="F29" s="109"/>
      <c r="G29" s="72" t="s">
        <v>63</v>
      </c>
      <c r="H29" s="72" t="s">
        <v>64</v>
      </c>
      <c r="I29" s="72" t="s">
        <v>65</v>
      </c>
      <c r="J29" s="75" t="s">
        <v>58</v>
      </c>
      <c r="K29" s="71" t="s">
        <v>24</v>
      </c>
      <c r="L29" s="72" t="s">
        <v>21</v>
      </c>
      <c r="M29" s="72" t="s">
        <v>22</v>
      </c>
      <c r="N29" s="81"/>
      <c r="O29" s="76"/>
    </row>
    <row r="30" spans="1:15" s="17" customFormat="1" ht="21" customHeight="1">
      <c r="A30" s="84">
        <v>11</v>
      </c>
      <c r="B30" s="99" t="s">
        <v>44</v>
      </c>
      <c r="C30" s="102" t="s">
        <v>50</v>
      </c>
      <c r="D30" s="105">
        <v>1</v>
      </c>
      <c r="E30" s="10"/>
      <c r="F30" s="78">
        <f>N8*D30</f>
        <v>2000</v>
      </c>
      <c r="G30" s="43"/>
      <c r="H30" s="43"/>
      <c r="I30" s="43"/>
      <c r="J30" s="44"/>
      <c r="K30" s="83" t="s">
        <v>48</v>
      </c>
      <c r="L30" s="10"/>
      <c r="M30" s="22"/>
      <c r="N30" s="22"/>
      <c r="O30" s="7"/>
    </row>
    <row r="31" spans="1:15" s="17" customFormat="1" ht="21" customHeight="1">
      <c r="A31" s="85"/>
      <c r="B31" s="100"/>
      <c r="C31" s="103"/>
      <c r="D31" s="106"/>
      <c r="E31" s="22"/>
      <c r="F31" s="79"/>
      <c r="G31" s="43"/>
      <c r="H31" s="43"/>
      <c r="I31" s="43"/>
      <c r="J31" s="44"/>
      <c r="K31" s="83"/>
      <c r="L31" s="12"/>
      <c r="M31" s="22"/>
      <c r="N31" s="22"/>
      <c r="O31" s="7"/>
    </row>
    <row r="32" spans="1:15" s="17" customFormat="1" ht="21" customHeight="1">
      <c r="A32" s="85"/>
      <c r="B32" s="100"/>
      <c r="C32" s="103"/>
      <c r="D32" s="106"/>
      <c r="E32" s="12"/>
      <c r="F32" s="79"/>
      <c r="G32" s="43"/>
      <c r="H32" s="43"/>
      <c r="I32" s="43"/>
      <c r="J32" s="44"/>
      <c r="K32" s="83"/>
      <c r="L32" s="22"/>
      <c r="M32" s="22"/>
      <c r="N32" s="22"/>
      <c r="O32" s="7"/>
    </row>
    <row r="33" spans="1:15" s="17" customFormat="1" ht="21" customHeight="1">
      <c r="A33" s="85"/>
      <c r="B33" s="100"/>
      <c r="C33" s="103"/>
      <c r="D33" s="106"/>
      <c r="E33" s="12"/>
      <c r="F33" s="79"/>
      <c r="G33" s="43"/>
      <c r="H33" s="43"/>
      <c r="I33" s="43"/>
      <c r="J33" s="44"/>
      <c r="K33" s="83"/>
      <c r="L33" s="22"/>
      <c r="M33" s="22"/>
      <c r="N33" s="22"/>
      <c r="O33" s="7"/>
    </row>
    <row r="34" spans="1:15" s="17" customFormat="1" ht="21" customHeight="1">
      <c r="A34" s="85"/>
      <c r="B34" s="100"/>
      <c r="C34" s="103"/>
      <c r="D34" s="106"/>
      <c r="E34" s="12"/>
      <c r="F34" s="79"/>
      <c r="G34" s="43"/>
      <c r="H34" s="43"/>
      <c r="I34" s="43"/>
      <c r="J34" s="44"/>
      <c r="K34" s="83"/>
      <c r="L34" s="22"/>
      <c r="M34" s="22"/>
      <c r="N34" s="22"/>
      <c r="O34" s="7"/>
    </row>
    <row r="35" spans="1:15" s="17" customFormat="1" ht="21" customHeight="1">
      <c r="A35" s="85"/>
      <c r="B35" s="100"/>
      <c r="C35" s="103"/>
      <c r="D35" s="106"/>
      <c r="E35" s="12"/>
      <c r="F35" s="79"/>
      <c r="G35" s="43"/>
      <c r="H35" s="43"/>
      <c r="I35" s="43"/>
      <c r="J35" s="44"/>
      <c r="K35" s="83"/>
      <c r="L35" s="22"/>
      <c r="M35" s="22"/>
      <c r="N35" s="22"/>
      <c r="O35" s="7"/>
    </row>
    <row r="36" spans="1:15" s="17" customFormat="1" ht="21" customHeight="1">
      <c r="A36" s="85"/>
      <c r="B36" s="100"/>
      <c r="C36" s="103"/>
      <c r="D36" s="106"/>
      <c r="E36" s="12"/>
      <c r="F36" s="79"/>
      <c r="G36" s="43"/>
      <c r="H36" s="43"/>
      <c r="I36" s="43"/>
      <c r="J36" s="44"/>
      <c r="K36" s="83"/>
      <c r="L36" s="22"/>
      <c r="M36" s="22"/>
      <c r="N36" s="22"/>
      <c r="O36" s="7"/>
    </row>
    <row r="37" spans="1:15" s="17" customFormat="1" ht="21" customHeight="1">
      <c r="A37" s="86"/>
      <c r="B37" s="101"/>
      <c r="C37" s="104"/>
      <c r="D37" s="107"/>
      <c r="E37" s="12"/>
      <c r="F37" s="80"/>
      <c r="G37" s="43"/>
      <c r="H37" s="43"/>
      <c r="I37" s="43"/>
      <c r="J37" s="44"/>
      <c r="K37" s="83"/>
      <c r="L37" s="22"/>
      <c r="M37" s="22"/>
      <c r="N37" s="22"/>
      <c r="O37" s="7"/>
    </row>
    <row r="38" spans="1:15" s="17" customFormat="1" ht="21" customHeight="1">
      <c r="A38" s="16"/>
      <c r="C38" s="16"/>
      <c r="D38" s="16"/>
      <c r="E38" s="16"/>
      <c r="F38" s="27"/>
      <c r="I38" s="16"/>
      <c r="J38" s="16"/>
      <c r="M38" s="16"/>
      <c r="N38" s="16"/>
    </row>
    <row r="39" spans="1:15" s="17" customFormat="1" ht="21" hidden="1" customHeight="1">
      <c r="A39" s="18" t="s">
        <v>26</v>
      </c>
      <c r="D39" s="16"/>
      <c r="E39" s="16"/>
      <c r="F39" s="16"/>
      <c r="J39" s="16"/>
      <c r="K39" s="16"/>
      <c r="N39" s="16"/>
      <c r="O39" s="16"/>
    </row>
    <row r="40" spans="1:15" s="17" customFormat="1" ht="21" hidden="1" customHeight="1">
      <c r="A40" s="16"/>
      <c r="D40" s="16"/>
      <c r="E40" s="16"/>
      <c r="F40" s="16"/>
      <c r="J40" s="16"/>
      <c r="K40" s="16"/>
      <c r="N40" s="16"/>
      <c r="O40" s="16"/>
    </row>
    <row r="41" spans="1:15" s="19" customFormat="1" ht="21" hidden="1" customHeight="1">
      <c r="A41" s="88" t="s">
        <v>15</v>
      </c>
      <c r="B41" s="88" t="s">
        <v>16</v>
      </c>
      <c r="C41" s="88" t="s">
        <v>17</v>
      </c>
      <c r="D41" s="91" t="s">
        <v>17</v>
      </c>
      <c r="E41" s="28"/>
      <c r="F41" s="88" t="s">
        <v>18</v>
      </c>
      <c r="G41" s="88" t="s">
        <v>13</v>
      </c>
      <c r="H41" s="94" t="s">
        <v>27</v>
      </c>
      <c r="I41" s="94" t="s">
        <v>23</v>
      </c>
      <c r="J41" s="94" t="s">
        <v>2</v>
      </c>
      <c r="K41" s="94" t="s">
        <v>33</v>
      </c>
      <c r="L41" s="91" t="s">
        <v>19</v>
      </c>
      <c r="M41" s="97"/>
      <c r="N41" s="87" t="s">
        <v>20</v>
      </c>
      <c r="O41" s="87"/>
    </row>
    <row r="42" spans="1:15" s="19" customFormat="1" ht="21" hidden="1" customHeight="1">
      <c r="A42" s="89"/>
      <c r="B42" s="89"/>
      <c r="C42" s="89"/>
      <c r="D42" s="92"/>
      <c r="F42" s="89"/>
      <c r="G42" s="89"/>
      <c r="H42" s="95"/>
      <c r="I42" s="95"/>
      <c r="J42" s="95"/>
      <c r="K42" s="95"/>
      <c r="L42" s="93"/>
      <c r="M42" s="98"/>
      <c r="N42" s="87"/>
      <c r="O42" s="87"/>
    </row>
    <row r="43" spans="1:15" s="19" customFormat="1" ht="21" hidden="1" customHeight="1">
      <c r="A43" s="90"/>
      <c r="B43" s="90"/>
      <c r="C43" s="90"/>
      <c r="D43" s="93"/>
      <c r="F43" s="90"/>
      <c r="G43" s="90"/>
      <c r="H43" s="96"/>
      <c r="I43" s="96"/>
      <c r="J43" s="96"/>
      <c r="K43" s="93"/>
      <c r="L43" s="9" t="s">
        <v>21</v>
      </c>
      <c r="M43" s="13" t="s">
        <v>22</v>
      </c>
      <c r="N43" s="9" t="s">
        <v>21</v>
      </c>
      <c r="O43" s="13" t="s">
        <v>22</v>
      </c>
    </row>
    <row r="44" spans="1:15" s="31" customFormat="1" ht="21" hidden="1" customHeight="1">
      <c r="A44" s="29">
        <v>1</v>
      </c>
      <c r="B44" s="14" t="s">
        <v>40</v>
      </c>
      <c r="C44" s="14" t="s">
        <v>44</v>
      </c>
      <c r="D44" s="20" t="s">
        <v>40</v>
      </c>
      <c r="E44" s="20" t="s">
        <v>41</v>
      </c>
      <c r="F44" s="25" t="s">
        <v>8</v>
      </c>
      <c r="G44" s="24" t="s">
        <v>0</v>
      </c>
      <c r="H44" s="25" t="s">
        <v>39</v>
      </c>
      <c r="I44" s="20">
        <v>349.25</v>
      </c>
      <c r="J44" s="30" t="s">
        <v>1</v>
      </c>
      <c r="K44" s="25" t="s">
        <v>48</v>
      </c>
      <c r="L44" s="20"/>
      <c r="M44" s="20"/>
      <c r="N44" s="20"/>
      <c r="O44" s="20"/>
    </row>
    <row r="45" spans="1:15" s="17" customFormat="1" ht="21" hidden="1" customHeight="1">
      <c r="A45" s="16"/>
      <c r="D45" s="16"/>
      <c r="E45" s="16"/>
      <c r="F45" s="16"/>
      <c r="H45" s="16"/>
      <c r="J45" s="16"/>
      <c r="K45" s="16"/>
      <c r="N45" s="16"/>
      <c r="O45" s="16"/>
    </row>
    <row r="46" spans="1:15" s="17" customFormat="1" ht="21" hidden="1" customHeight="1">
      <c r="A46" s="16"/>
      <c r="D46" s="16"/>
      <c r="E46" s="16"/>
      <c r="F46" s="16"/>
      <c r="G46" s="31"/>
      <c r="I46" s="17" t="s">
        <v>3</v>
      </c>
      <c r="J46" s="16"/>
      <c r="K46" s="17" t="s">
        <v>37</v>
      </c>
      <c r="M46" s="23"/>
      <c r="N46" s="26"/>
      <c r="O46" s="26"/>
    </row>
    <row r="47" spans="1:15" s="31" customFormat="1" ht="21" customHeight="1">
      <c r="A47" s="18"/>
      <c r="J47" s="11"/>
      <c r="K47" s="11"/>
      <c r="N47" s="11"/>
      <c r="O47" s="11"/>
    </row>
    <row r="48" spans="1:15" s="31" customFormat="1" ht="21" customHeight="1">
      <c r="A48" s="11"/>
      <c r="B48" s="15"/>
      <c r="D48" s="11"/>
      <c r="E48" s="11"/>
      <c r="F48" s="11"/>
      <c r="J48" s="11"/>
      <c r="K48" s="11"/>
      <c r="N48" s="11"/>
      <c r="O48" s="11"/>
    </row>
    <row r="49" spans="1:15" s="31" customFormat="1" ht="21" customHeight="1">
      <c r="A49" s="11"/>
      <c r="K49" s="11"/>
      <c r="N49" s="11"/>
      <c r="O49" s="11"/>
    </row>
    <row r="50" spans="1:15" s="31" customFormat="1" ht="21" customHeight="1">
      <c r="A50" s="11"/>
      <c r="B50" s="15"/>
      <c r="K50" s="11"/>
      <c r="N50" s="11"/>
      <c r="O50" s="11"/>
    </row>
    <row r="51" spans="1:15" s="31" customFormat="1" ht="21" customHeight="1">
      <c r="A51" s="11"/>
      <c r="D51" s="11"/>
      <c r="E51" s="11"/>
      <c r="F51" s="11"/>
      <c r="J51" s="11"/>
      <c r="K51" s="11"/>
      <c r="N51" s="11"/>
      <c r="O51" s="11"/>
    </row>
    <row r="52" spans="1:15" s="31" customFormat="1" ht="21" customHeight="1">
      <c r="A52" s="11"/>
      <c r="D52" s="11"/>
      <c r="E52" s="11"/>
      <c r="F52" s="11"/>
      <c r="J52" s="11"/>
      <c r="K52" s="11"/>
      <c r="N52" s="11"/>
      <c r="O52" s="11"/>
    </row>
    <row r="53" spans="1:15" s="31" customFormat="1" ht="21" customHeight="1">
      <c r="A53" s="11"/>
      <c r="D53" s="11"/>
      <c r="E53" s="11"/>
      <c r="F53" s="11"/>
      <c r="J53" s="11"/>
      <c r="K53" s="11"/>
      <c r="N53" s="11"/>
      <c r="O53" s="11"/>
    </row>
    <row r="54" spans="1:15" s="31" customFormat="1" ht="21" customHeight="1">
      <c r="A54" s="11"/>
      <c r="D54" s="11"/>
      <c r="E54" s="11"/>
      <c r="F54" s="11"/>
      <c r="J54" s="11"/>
      <c r="K54" s="11"/>
      <c r="N54" s="11"/>
      <c r="O54" s="11"/>
    </row>
    <row r="55" spans="1:15" s="17" customFormat="1" ht="21" customHeight="1">
      <c r="A55" s="16"/>
      <c r="D55" s="16"/>
      <c r="E55" s="16"/>
      <c r="F55" s="16"/>
      <c r="J55" s="16"/>
      <c r="K55" s="16"/>
      <c r="N55" s="16"/>
      <c r="O55" s="16"/>
    </row>
    <row r="56" spans="1:15" s="17" customFormat="1" ht="21" customHeight="1">
      <c r="A56" s="16"/>
      <c r="D56" s="16"/>
      <c r="E56" s="16"/>
      <c r="F56" s="16"/>
      <c r="J56" s="16"/>
      <c r="K56" s="16"/>
      <c r="N56" s="16"/>
      <c r="O56" s="16"/>
    </row>
    <row r="57" spans="1:15" s="17" customFormat="1" ht="21" customHeight="1">
      <c r="A57" s="16"/>
      <c r="D57" s="16"/>
      <c r="E57" s="16"/>
      <c r="F57" s="16"/>
      <c r="J57" s="16"/>
      <c r="K57" s="16"/>
      <c r="N57" s="16"/>
      <c r="O57" s="16"/>
    </row>
    <row r="58" spans="1:15" s="17" customFormat="1" ht="21" customHeight="1">
      <c r="A58" s="16"/>
      <c r="D58" s="16"/>
      <c r="E58" s="16"/>
      <c r="F58" s="16"/>
      <c r="J58" s="16"/>
      <c r="K58" s="16"/>
      <c r="N58" s="16"/>
      <c r="O58" s="16"/>
    </row>
    <row r="59" spans="1:15" s="17" customFormat="1" ht="21" customHeight="1">
      <c r="A59" s="16"/>
      <c r="D59" s="16"/>
      <c r="E59" s="16"/>
      <c r="F59" s="16"/>
      <c r="J59" s="16"/>
      <c r="K59" s="16"/>
      <c r="N59" s="16"/>
      <c r="O59" s="16"/>
    </row>
    <row r="60" spans="1:15" s="17" customFormat="1" ht="21" customHeight="1">
      <c r="A60" s="16"/>
      <c r="D60" s="16"/>
      <c r="E60" s="16"/>
      <c r="F60" s="16"/>
      <c r="J60" s="16"/>
      <c r="K60" s="16"/>
      <c r="N60" s="16"/>
      <c r="O60" s="16"/>
    </row>
  </sheetData>
  <mergeCells count="38">
    <mergeCell ref="A1:N5"/>
    <mergeCell ref="K17:K18"/>
    <mergeCell ref="B20:C20"/>
    <mergeCell ref="G15:G16"/>
    <mergeCell ref="H15:H16"/>
    <mergeCell ref="K15:K16"/>
    <mergeCell ref="F15:F16"/>
    <mergeCell ref="A15:A16"/>
    <mergeCell ref="B15:B16"/>
    <mergeCell ref="C15:C16"/>
    <mergeCell ref="D15:D16"/>
    <mergeCell ref="E15:E16"/>
    <mergeCell ref="A28:A29"/>
    <mergeCell ref="B28:B29"/>
    <mergeCell ref="C28:C29"/>
    <mergeCell ref="D28:D29"/>
    <mergeCell ref="F28:F29"/>
    <mergeCell ref="A30:A37"/>
    <mergeCell ref="N41:O42"/>
    <mergeCell ref="A41:A43"/>
    <mergeCell ref="B41:B43"/>
    <mergeCell ref="C41:C43"/>
    <mergeCell ref="D41:D43"/>
    <mergeCell ref="F41:F43"/>
    <mergeCell ref="G41:G43"/>
    <mergeCell ref="H41:H43"/>
    <mergeCell ref="I41:I43"/>
    <mergeCell ref="J41:J43"/>
    <mergeCell ref="K41:K43"/>
    <mergeCell ref="L41:M42"/>
    <mergeCell ref="B30:B37"/>
    <mergeCell ref="C30:C37"/>
    <mergeCell ref="D30:D37"/>
    <mergeCell ref="F30:F37"/>
    <mergeCell ref="G28:J28"/>
    <mergeCell ref="K28:M28"/>
    <mergeCell ref="N28:N29"/>
    <mergeCell ref="K30:K37"/>
  </mergeCells>
  <pageMargins left="0.118110236220472" right="0" top="0.15748031496063" bottom="0" header="0.31496062992126" footer="0.31496062992126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E4B0-E4FD-4D40-A23D-FFDC7D44556C}">
  <dimension ref="A1:Z88"/>
  <sheetViews>
    <sheetView workbookViewId="0">
      <selection activeCell="W8" sqref="W8"/>
    </sheetView>
  </sheetViews>
  <sheetFormatPr defaultRowHeight="14.4"/>
  <cols>
    <col min="1" max="1" width="15.6640625" style="60" customWidth="1"/>
    <col min="2" max="2" width="54" customWidth="1"/>
    <col min="3" max="20" width="3.21875" customWidth="1"/>
    <col min="21" max="26" width="5.44140625" customWidth="1"/>
    <col min="28" max="28" width="15.44140625" customWidth="1"/>
  </cols>
  <sheetData>
    <row r="1" spans="1:26" ht="15" customHeight="1">
      <c r="A1" s="124" t="s">
        <v>68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45"/>
      <c r="X1" s="45"/>
      <c r="Y1" s="45"/>
      <c r="Z1" s="45"/>
    </row>
    <row r="2" spans="1:26" ht="15" customHeight="1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45"/>
      <c r="X2" s="45"/>
      <c r="Y2" s="45"/>
      <c r="Z2" s="45"/>
    </row>
    <row r="3" spans="1:26" ht="15" customHeight="1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45"/>
      <c r="X3" s="45"/>
      <c r="Y3" s="45"/>
      <c r="Z3" s="45"/>
    </row>
    <row r="4" spans="1:26" ht="15" customHeight="1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45"/>
      <c r="X4" s="45"/>
      <c r="Y4" s="45"/>
      <c r="Z4" s="45"/>
    </row>
    <row r="5" spans="1:26" ht="15" customHeight="1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45"/>
      <c r="X5" s="45"/>
      <c r="Y5" s="45"/>
      <c r="Z5" s="45"/>
    </row>
    <row r="6" spans="1:26" ht="30">
      <c r="A6" s="125" t="s">
        <v>69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s="7" customFormat="1" ht="26.25" customHeight="1">
      <c r="A7" s="126" t="s">
        <v>69</v>
      </c>
      <c r="B7" s="126"/>
      <c r="C7" s="42" t="s">
        <v>70</v>
      </c>
      <c r="E7" s="16"/>
      <c r="F7" s="16"/>
      <c r="G7" s="127" t="str">
        <f>'ใบงาน Agilent_JOB 11'!F7</f>
        <v>xxxx</v>
      </c>
      <c r="H7" s="127"/>
      <c r="I7" s="127"/>
      <c r="J7" s="127"/>
      <c r="K7" s="127"/>
      <c r="L7" s="16"/>
      <c r="M7" s="16"/>
      <c r="N7" s="16"/>
      <c r="O7" s="16"/>
      <c r="P7" s="16"/>
      <c r="Q7" s="16"/>
      <c r="R7" s="16"/>
      <c r="S7" s="46" t="s">
        <v>57</v>
      </c>
      <c r="W7" s="77" t="str">
        <f>'ใบงาน Agilent_JOB 11'!M7</f>
        <v>xxxx</v>
      </c>
      <c r="X7" s="77"/>
      <c r="Y7" s="77"/>
      <c r="Z7" s="77"/>
    </row>
    <row r="8" spans="1:26" s="7" customFormat="1" ht="13.8">
      <c r="A8" s="8" t="s">
        <v>71</v>
      </c>
      <c r="B8" s="47" t="str">
        <f>'ใบงาน Agilent_JOB 11'!F8</f>
        <v>K9801-60095</v>
      </c>
      <c r="C8" s="41" t="s">
        <v>72</v>
      </c>
      <c r="D8" s="41"/>
      <c r="E8" s="41"/>
      <c r="F8" s="41"/>
      <c r="G8" s="128" t="str">
        <f>'ใบงาน Agilent_JOB 11'!F9</f>
        <v>-</v>
      </c>
      <c r="H8" s="128"/>
      <c r="I8" s="128"/>
      <c r="J8" s="128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6" s="7" customFormat="1" ht="13.5" customHeight="1">
      <c r="A9" s="126" t="s">
        <v>3</v>
      </c>
      <c r="B9" s="126"/>
      <c r="G9" s="128" t="s">
        <v>3</v>
      </c>
      <c r="H9" s="128"/>
      <c r="I9" s="128"/>
      <c r="J9" s="128"/>
      <c r="L9" s="16"/>
      <c r="M9" s="16"/>
      <c r="N9" s="16"/>
      <c r="O9" s="16"/>
      <c r="P9" s="16"/>
      <c r="Q9" s="16"/>
      <c r="R9" s="16"/>
      <c r="S9" s="111" t="s">
        <v>73</v>
      </c>
      <c r="T9" s="111"/>
      <c r="U9" s="111"/>
      <c r="V9" s="111"/>
    </row>
    <row r="10" spans="1:26" s="7" customFormat="1" ht="13.5" customHeight="1">
      <c r="A10" s="8" t="s">
        <v>74</v>
      </c>
      <c r="B10" s="70">
        <f>'ใบงาน Agilent_JOB 11'!N8</f>
        <v>2000</v>
      </c>
      <c r="C10" s="16"/>
      <c r="D10" s="127" t="s">
        <v>3</v>
      </c>
      <c r="E10" s="127"/>
      <c r="F10" s="127"/>
      <c r="G10" s="129" t="s">
        <v>3</v>
      </c>
      <c r="H10" s="129"/>
      <c r="I10" s="129"/>
      <c r="J10" s="129"/>
      <c r="K10" s="42"/>
      <c r="L10" s="16"/>
      <c r="M10" s="16"/>
      <c r="N10" s="16"/>
      <c r="O10" s="16"/>
      <c r="P10" s="16"/>
      <c r="Q10" s="16"/>
      <c r="R10" s="16"/>
      <c r="S10" s="111"/>
      <c r="T10" s="111"/>
      <c r="U10" s="111"/>
      <c r="V10" s="111"/>
    </row>
    <row r="11" spans="1:26" s="7" customFormat="1" ht="13.8">
      <c r="A11" s="16"/>
      <c r="B11" s="17"/>
      <c r="C11" s="16"/>
      <c r="D11" s="16"/>
      <c r="E11" s="16"/>
      <c r="F11" s="16"/>
      <c r="G11" s="129" t="s">
        <v>3</v>
      </c>
      <c r="H11" s="129"/>
      <c r="I11" s="129"/>
      <c r="J11" s="129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6" s="7" customFormat="1" ht="13.8">
      <c r="A12" s="16" t="s">
        <v>75</v>
      </c>
      <c r="B12" s="17"/>
      <c r="C12" s="16"/>
      <c r="D12" s="16"/>
      <c r="E12" s="16"/>
      <c r="F12" s="16"/>
      <c r="G12" s="129" t="s">
        <v>3</v>
      </c>
      <c r="H12" s="129"/>
      <c r="I12" s="129"/>
      <c r="J12" s="129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6" s="7" customFormat="1" ht="13.8">
      <c r="A13" s="16"/>
      <c r="B13" s="17"/>
      <c r="C13" s="16"/>
      <c r="D13" s="16"/>
      <c r="E13" s="16"/>
      <c r="F13" s="16"/>
      <c r="G13" s="42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6" s="7" customFormat="1" ht="13.8">
      <c r="A14" s="138" t="s">
        <v>15</v>
      </c>
      <c r="B14" s="138" t="s">
        <v>76</v>
      </c>
      <c r="C14" s="130" t="s">
        <v>77</v>
      </c>
      <c r="D14" s="139"/>
      <c r="E14" s="139"/>
      <c r="F14" s="139"/>
      <c r="G14" s="139"/>
      <c r="H14" s="140"/>
      <c r="I14" s="130" t="s">
        <v>21</v>
      </c>
      <c r="J14" s="139"/>
      <c r="K14" s="139"/>
      <c r="L14" s="139"/>
      <c r="M14" s="139"/>
      <c r="N14" s="140"/>
      <c r="O14" s="130" t="s">
        <v>22</v>
      </c>
      <c r="P14" s="131"/>
      <c r="Q14" s="131"/>
      <c r="R14" s="131"/>
      <c r="S14" s="131"/>
      <c r="T14" s="132"/>
      <c r="U14" s="136" t="s">
        <v>78</v>
      </c>
      <c r="V14" s="136"/>
      <c r="W14" s="136"/>
      <c r="X14" s="136"/>
      <c r="Y14" s="136"/>
      <c r="Z14" s="136"/>
    </row>
    <row r="15" spans="1:26" s="7" customFormat="1" ht="13.8">
      <c r="A15" s="88"/>
      <c r="B15" s="138"/>
      <c r="C15" s="141"/>
      <c r="D15" s="142"/>
      <c r="E15" s="142"/>
      <c r="F15" s="142"/>
      <c r="G15" s="142"/>
      <c r="H15" s="143"/>
      <c r="I15" s="141"/>
      <c r="J15" s="142"/>
      <c r="K15" s="142"/>
      <c r="L15" s="142"/>
      <c r="M15" s="142"/>
      <c r="N15" s="143"/>
      <c r="O15" s="133"/>
      <c r="P15" s="134"/>
      <c r="Q15" s="134"/>
      <c r="R15" s="134"/>
      <c r="S15" s="134"/>
      <c r="T15" s="135"/>
      <c r="U15" s="136"/>
      <c r="V15" s="136"/>
      <c r="W15" s="136"/>
      <c r="X15" s="136"/>
      <c r="Y15" s="136"/>
      <c r="Z15" s="136"/>
    </row>
    <row r="16" spans="1:26" s="51" customFormat="1" ht="35.700000000000003" customHeight="1">
      <c r="A16" s="49">
        <v>1</v>
      </c>
      <c r="B16" s="50" t="s">
        <v>79</v>
      </c>
      <c r="C16" s="137"/>
      <c r="D16" s="137"/>
      <c r="E16" s="137"/>
      <c r="F16" s="137"/>
      <c r="G16" s="137"/>
      <c r="H16" s="137"/>
      <c r="I16" s="137" t="s">
        <v>3</v>
      </c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s="51" customFormat="1" ht="22.5" customHeight="1">
      <c r="A17" s="144">
        <v>2</v>
      </c>
      <c r="B17" s="52" t="s">
        <v>80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 s="51" customFormat="1" ht="22.5" customHeight="1">
      <c r="A18" s="145"/>
      <c r="B18" s="52" t="s">
        <v>81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spans="1:26" s="51" customFormat="1" ht="22.5" customHeight="1">
      <c r="A19" s="145"/>
      <c r="B19" s="52" t="s">
        <v>82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spans="1:26" s="51" customFormat="1" ht="22.5" customHeight="1">
      <c r="A20" s="145"/>
      <c r="B20" s="52" t="s">
        <v>83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spans="1:26" s="51" customFormat="1" ht="22.5" customHeight="1">
      <c r="A21" s="146"/>
      <c r="B21" s="52" t="s">
        <v>84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spans="1:26" s="51" customFormat="1" ht="22.5" customHeight="1">
      <c r="A22" s="49">
        <v>3</v>
      </c>
      <c r="B22" s="50" t="s">
        <v>85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s="51" customFormat="1" ht="22.5" customHeight="1">
      <c r="A23" s="49">
        <v>4</v>
      </c>
      <c r="B23" s="50" t="s">
        <v>86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spans="1:26" s="51" customFormat="1" ht="22.5" customHeight="1">
      <c r="A24" s="49">
        <v>5</v>
      </c>
      <c r="B24" s="50" t="s">
        <v>87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 spans="1:26" s="51" customFormat="1" ht="20.7" customHeight="1">
      <c r="A25" s="49">
        <v>6</v>
      </c>
      <c r="B25" s="50" t="s">
        <v>88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 spans="1:26" s="7" customFormat="1" ht="13.8">
      <c r="A26" s="8"/>
      <c r="C26" s="147"/>
      <c r="D26" s="147"/>
      <c r="E26" s="147"/>
      <c r="F26" s="147"/>
    </row>
    <row r="27" spans="1:26" s="7" customFormat="1" ht="15.6">
      <c r="A27" s="148" t="s">
        <v>89</v>
      </c>
      <c r="B27" s="148"/>
      <c r="C27" s="148"/>
      <c r="D27" s="148"/>
      <c r="E27" s="148"/>
      <c r="F27" s="148"/>
      <c r="G27" s="148"/>
      <c r="H27" s="148"/>
      <c r="I27" s="148"/>
      <c r="J27" s="148"/>
    </row>
    <row r="28" spans="1:26" s="53" customFormat="1" ht="15">
      <c r="A28" s="149" t="s">
        <v>90</v>
      </c>
      <c r="B28" s="150"/>
      <c r="C28" s="153" t="s">
        <v>91</v>
      </c>
      <c r="D28" s="153"/>
      <c r="E28" s="153"/>
      <c r="F28" s="153"/>
      <c r="G28" s="154" t="s">
        <v>92</v>
      </c>
      <c r="H28" s="155"/>
      <c r="I28" s="155"/>
      <c r="J28" s="156"/>
      <c r="L28" s="152" t="s">
        <v>3</v>
      </c>
      <c r="M28" s="152"/>
    </row>
    <row r="29" spans="1:26" s="53" customFormat="1" ht="15">
      <c r="A29" s="149" t="s">
        <v>93</v>
      </c>
      <c r="B29" s="150"/>
      <c r="C29" s="151">
        <v>10</v>
      </c>
      <c r="D29" s="151"/>
      <c r="E29" s="151"/>
      <c r="F29" s="151"/>
      <c r="G29" s="151">
        <v>10</v>
      </c>
      <c r="H29" s="151"/>
      <c r="I29" s="151"/>
      <c r="J29" s="151"/>
      <c r="L29" s="152"/>
      <c r="M29" s="152"/>
    </row>
    <row r="30" spans="1:26" s="53" customFormat="1" ht="15">
      <c r="A30" s="149" t="s">
        <v>94</v>
      </c>
      <c r="B30" s="150"/>
      <c r="C30" s="151">
        <v>20</v>
      </c>
      <c r="D30" s="151"/>
      <c r="E30" s="151"/>
      <c r="F30" s="151"/>
      <c r="G30" s="151">
        <v>20</v>
      </c>
      <c r="H30" s="151"/>
      <c r="I30" s="151"/>
      <c r="J30" s="151"/>
      <c r="L30" s="152"/>
      <c r="M30" s="152"/>
    </row>
    <row r="31" spans="1:26" s="53" customFormat="1" ht="15">
      <c r="A31" s="149" t="s">
        <v>95</v>
      </c>
      <c r="B31" s="150"/>
      <c r="C31" s="151">
        <v>30</v>
      </c>
      <c r="D31" s="151"/>
      <c r="E31" s="151"/>
      <c r="F31" s="151"/>
      <c r="G31" s="151">
        <v>30</v>
      </c>
      <c r="H31" s="151"/>
      <c r="I31" s="151"/>
      <c r="J31" s="151"/>
      <c r="L31" s="152"/>
      <c r="M31" s="152"/>
    </row>
    <row r="32" spans="1:26" s="53" customFormat="1" ht="15">
      <c r="A32" s="149" t="s">
        <v>96</v>
      </c>
      <c r="B32" s="150"/>
      <c r="C32" s="157">
        <v>40</v>
      </c>
      <c r="D32" s="158"/>
      <c r="E32" s="158"/>
      <c r="F32" s="159"/>
      <c r="G32" s="157">
        <v>40</v>
      </c>
      <c r="H32" s="158"/>
      <c r="I32" s="158"/>
      <c r="J32" s="159"/>
      <c r="L32" s="152"/>
      <c r="M32" s="152"/>
    </row>
    <row r="33" spans="1:26" s="53" customFormat="1" ht="15">
      <c r="A33" s="149" t="s">
        <v>97</v>
      </c>
      <c r="B33" s="150"/>
      <c r="C33" s="151">
        <v>50</v>
      </c>
      <c r="D33" s="151"/>
      <c r="E33" s="151"/>
      <c r="F33" s="151"/>
      <c r="G33" s="151">
        <v>50</v>
      </c>
      <c r="H33" s="151"/>
      <c r="I33" s="151"/>
      <c r="J33" s="151"/>
      <c r="L33" s="152"/>
      <c r="M33" s="152"/>
    </row>
    <row r="34" spans="1:26" s="53" customFormat="1" ht="15">
      <c r="A34" s="149" t="s">
        <v>98</v>
      </c>
      <c r="B34" s="150"/>
      <c r="C34" s="151">
        <v>100</v>
      </c>
      <c r="D34" s="151"/>
      <c r="E34" s="151"/>
      <c r="F34" s="151"/>
      <c r="G34" s="151">
        <v>100</v>
      </c>
      <c r="H34" s="151"/>
      <c r="I34" s="151"/>
      <c r="J34" s="151"/>
      <c r="L34" s="152"/>
      <c r="M34" s="152"/>
    </row>
    <row r="35" spans="1:26" s="53" customFormat="1" ht="15">
      <c r="A35" s="149" t="s">
        <v>99</v>
      </c>
      <c r="B35" s="150"/>
      <c r="C35" s="151">
        <v>200</v>
      </c>
      <c r="D35" s="151"/>
      <c r="E35" s="151"/>
      <c r="F35" s="151"/>
      <c r="G35" s="151">
        <v>200</v>
      </c>
      <c r="H35" s="151"/>
      <c r="I35" s="151"/>
      <c r="J35" s="151"/>
      <c r="L35" s="152"/>
      <c r="M35" s="152"/>
    </row>
    <row r="36" spans="1:26" s="53" customFormat="1" ht="15">
      <c r="A36" s="149" t="s">
        <v>100</v>
      </c>
      <c r="B36" s="150"/>
      <c r="C36" s="157" t="s">
        <v>101</v>
      </c>
      <c r="D36" s="158"/>
      <c r="E36" s="158"/>
      <c r="F36" s="158"/>
      <c r="G36" s="158"/>
      <c r="H36" s="158"/>
      <c r="I36" s="158"/>
      <c r="J36" s="159"/>
      <c r="L36" s="152"/>
      <c r="M36" s="152"/>
    </row>
    <row r="37" spans="1:26" s="53" customFormat="1" ht="15">
      <c r="A37" s="54"/>
      <c r="L37" s="152"/>
      <c r="M37" s="152"/>
    </row>
    <row r="38" spans="1:26" s="53" customFormat="1" ht="15">
      <c r="A38" s="54"/>
      <c r="L38" s="54"/>
      <c r="M38" s="54"/>
    </row>
    <row r="39" spans="1:26" s="53" customFormat="1" ht="15">
      <c r="A39" s="54"/>
      <c r="L39" s="54"/>
      <c r="M39" s="54"/>
    </row>
    <row r="40" spans="1:26" s="53" customFormat="1" ht="15">
      <c r="A40" s="54"/>
      <c r="L40" s="54"/>
      <c r="M40" s="54"/>
    </row>
    <row r="41" spans="1:26" s="53" customFormat="1" ht="15">
      <c r="A41" s="54"/>
      <c r="L41" s="54"/>
      <c r="M41" s="54"/>
    </row>
    <row r="42" spans="1:26" s="53" customFormat="1" ht="15">
      <c r="A42" s="54"/>
      <c r="L42" s="54"/>
      <c r="M42" s="54"/>
    </row>
    <row r="43" spans="1:26" s="53" customFormat="1" ht="15">
      <c r="A43" s="54"/>
      <c r="L43" s="54"/>
      <c r="M43" s="54"/>
    </row>
    <row r="44" spans="1:26" s="53" customFormat="1" ht="15">
      <c r="A44" s="54"/>
      <c r="L44" s="54"/>
      <c r="M44" s="54"/>
    </row>
    <row r="45" spans="1:26" s="53" customFormat="1" ht="15">
      <c r="A45" s="54"/>
      <c r="L45" s="54"/>
      <c r="M45" s="54"/>
    </row>
    <row r="46" spans="1:26" s="7" customFormat="1" ht="13.8">
      <c r="A46" s="8"/>
      <c r="L46" s="147"/>
      <c r="M46" s="147"/>
    </row>
    <row r="47" spans="1:26" s="53" customFormat="1" ht="19.2" customHeight="1">
      <c r="A47" s="55" t="s">
        <v>102</v>
      </c>
      <c r="B47" s="56" t="s">
        <v>103</v>
      </c>
      <c r="C47" s="160" t="s">
        <v>104</v>
      </c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2"/>
      <c r="O47" s="163" t="s">
        <v>105</v>
      </c>
      <c r="P47" s="164"/>
      <c r="Q47" s="164"/>
      <c r="R47" s="164"/>
      <c r="S47" s="165"/>
      <c r="T47" s="163" t="s">
        <v>106</v>
      </c>
      <c r="U47" s="164"/>
      <c r="V47" s="164"/>
      <c r="W47" s="165"/>
      <c r="X47" s="164" t="s">
        <v>107</v>
      </c>
      <c r="Y47" s="164"/>
      <c r="Z47" s="165"/>
    </row>
    <row r="48" spans="1:26" s="7" customFormat="1" ht="16.5" customHeight="1">
      <c r="A48" s="172" t="s">
        <v>108</v>
      </c>
      <c r="B48" s="55" t="s">
        <v>109</v>
      </c>
      <c r="C48" s="169" t="s">
        <v>110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1"/>
      <c r="O48" s="166" t="s">
        <v>0</v>
      </c>
      <c r="P48" s="167"/>
      <c r="Q48" s="167"/>
      <c r="R48" s="167"/>
      <c r="S48" s="168"/>
      <c r="T48" s="166" t="s">
        <v>111</v>
      </c>
      <c r="U48" s="167"/>
      <c r="V48" s="167"/>
      <c r="W48" s="168"/>
      <c r="X48" s="166">
        <v>1</v>
      </c>
      <c r="Y48" s="167"/>
      <c r="Z48" s="168"/>
    </row>
    <row r="49" spans="1:26" s="7" customFormat="1" ht="16.5" customHeight="1">
      <c r="A49" s="173"/>
      <c r="B49" s="55" t="s">
        <v>112</v>
      </c>
      <c r="C49" s="169" t="s">
        <v>113</v>
      </c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1"/>
      <c r="O49" s="166" t="s">
        <v>0</v>
      </c>
      <c r="P49" s="167"/>
      <c r="Q49" s="167"/>
      <c r="R49" s="167"/>
      <c r="S49" s="168"/>
      <c r="T49" s="166" t="s">
        <v>114</v>
      </c>
      <c r="U49" s="167"/>
      <c r="V49" s="167"/>
      <c r="W49" s="168"/>
      <c r="X49" s="166">
        <v>1</v>
      </c>
      <c r="Y49" s="167"/>
      <c r="Z49" s="168"/>
    </row>
    <row r="50" spans="1:26" s="7" customFormat="1" ht="16.5" customHeight="1">
      <c r="A50" s="173"/>
      <c r="B50" s="55" t="s">
        <v>115</v>
      </c>
      <c r="C50" s="169" t="s">
        <v>116</v>
      </c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1"/>
      <c r="O50" s="166" t="s">
        <v>117</v>
      </c>
      <c r="P50" s="167"/>
      <c r="Q50" s="167"/>
      <c r="R50" s="167"/>
      <c r="S50" s="168"/>
      <c r="T50" s="166" t="s">
        <v>118</v>
      </c>
      <c r="U50" s="167"/>
      <c r="V50" s="167"/>
      <c r="W50" s="168"/>
      <c r="X50" s="166">
        <v>6</v>
      </c>
      <c r="Y50" s="167"/>
      <c r="Z50" s="168"/>
    </row>
    <row r="51" spans="1:26" s="7" customFormat="1" ht="16.5" customHeight="1">
      <c r="A51" s="173"/>
      <c r="B51" s="55" t="s">
        <v>119</v>
      </c>
      <c r="C51" s="169" t="s">
        <v>120</v>
      </c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1"/>
      <c r="O51" s="166" t="s">
        <v>121</v>
      </c>
      <c r="P51" s="167"/>
      <c r="Q51" s="167"/>
      <c r="R51" s="167"/>
      <c r="S51" s="168"/>
      <c r="T51" s="166" t="s">
        <v>122</v>
      </c>
      <c r="U51" s="167"/>
      <c r="V51" s="167"/>
      <c r="W51" s="168"/>
      <c r="X51" s="166">
        <v>6</v>
      </c>
      <c r="Y51" s="167"/>
      <c r="Z51" s="168"/>
    </row>
    <row r="52" spans="1:26" s="7" customFormat="1" ht="16.5" customHeight="1">
      <c r="A52" s="174"/>
      <c r="B52" s="55" t="s">
        <v>123</v>
      </c>
      <c r="C52" s="169" t="s">
        <v>124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1"/>
      <c r="O52" s="166" t="s">
        <v>121</v>
      </c>
      <c r="P52" s="167"/>
      <c r="Q52" s="167"/>
      <c r="R52" s="167"/>
      <c r="S52" s="168"/>
      <c r="T52" s="166" t="s">
        <v>125</v>
      </c>
      <c r="U52" s="167"/>
      <c r="V52" s="167"/>
      <c r="W52" s="168"/>
      <c r="X52" s="166">
        <v>6</v>
      </c>
      <c r="Y52" s="167"/>
      <c r="Z52" s="168"/>
    </row>
    <row r="53" spans="1:26" s="7" customFormat="1" ht="16.5" customHeight="1">
      <c r="A53" s="175" t="s">
        <v>126</v>
      </c>
      <c r="B53" s="55" t="s">
        <v>127</v>
      </c>
      <c r="C53" s="169" t="s">
        <v>128</v>
      </c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1"/>
      <c r="O53" s="166" t="s">
        <v>129</v>
      </c>
      <c r="P53" s="167"/>
      <c r="Q53" s="167"/>
      <c r="R53" s="167"/>
      <c r="S53" s="168"/>
      <c r="T53" s="166" t="s">
        <v>130</v>
      </c>
      <c r="U53" s="167"/>
      <c r="V53" s="167"/>
      <c r="W53" s="168"/>
      <c r="X53" s="166">
        <v>2</v>
      </c>
      <c r="Y53" s="167"/>
      <c r="Z53" s="168"/>
    </row>
    <row r="54" spans="1:26" s="7" customFormat="1" ht="16.5" customHeight="1">
      <c r="A54" s="86"/>
      <c r="B54" s="55" t="s">
        <v>131</v>
      </c>
      <c r="C54" s="169" t="s">
        <v>132</v>
      </c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1"/>
      <c r="O54" s="166" t="s">
        <v>133</v>
      </c>
      <c r="P54" s="167"/>
      <c r="Q54" s="167"/>
      <c r="R54" s="167"/>
      <c r="S54" s="168"/>
      <c r="T54" s="166" t="s">
        <v>134</v>
      </c>
      <c r="U54" s="167"/>
      <c r="V54" s="167"/>
      <c r="W54" s="168"/>
      <c r="X54" s="166">
        <v>1</v>
      </c>
      <c r="Y54" s="167"/>
      <c r="Z54" s="168"/>
    </row>
    <row r="55" spans="1:26" s="7" customFormat="1" ht="16.5" customHeight="1">
      <c r="A55" s="175" t="s">
        <v>135</v>
      </c>
      <c r="B55" s="55" t="s">
        <v>136</v>
      </c>
      <c r="C55" s="169" t="s">
        <v>137</v>
      </c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1"/>
      <c r="O55" s="166" t="s">
        <v>138</v>
      </c>
      <c r="P55" s="167"/>
      <c r="Q55" s="167"/>
      <c r="R55" s="167"/>
      <c r="S55" s="168"/>
      <c r="T55" s="166" t="s">
        <v>139</v>
      </c>
      <c r="U55" s="167"/>
      <c r="V55" s="167"/>
      <c r="W55" s="168"/>
      <c r="X55" s="166">
        <v>1</v>
      </c>
      <c r="Y55" s="167"/>
      <c r="Z55" s="168"/>
    </row>
    <row r="56" spans="1:26" s="7" customFormat="1" ht="16.5" customHeight="1">
      <c r="A56" s="85"/>
      <c r="B56" s="55" t="s">
        <v>140</v>
      </c>
      <c r="C56" s="169" t="s">
        <v>141</v>
      </c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1"/>
      <c r="O56" s="166" t="s">
        <v>138</v>
      </c>
      <c r="P56" s="167"/>
      <c r="Q56" s="167"/>
      <c r="R56" s="167"/>
      <c r="S56" s="168"/>
      <c r="T56" s="166" t="s">
        <v>142</v>
      </c>
      <c r="U56" s="167"/>
      <c r="V56" s="167"/>
      <c r="W56" s="168"/>
      <c r="X56" s="166">
        <v>4</v>
      </c>
      <c r="Y56" s="167"/>
      <c r="Z56" s="168"/>
    </row>
    <row r="57" spans="1:26" s="7" customFormat="1" ht="16.5" customHeight="1">
      <c r="A57" s="85"/>
      <c r="B57" s="55" t="s">
        <v>143</v>
      </c>
      <c r="C57" s="169" t="s">
        <v>144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1"/>
      <c r="O57" s="166" t="s">
        <v>0</v>
      </c>
      <c r="P57" s="167"/>
      <c r="Q57" s="167"/>
      <c r="R57" s="167"/>
      <c r="S57" s="168"/>
      <c r="T57" s="166" t="s">
        <v>40</v>
      </c>
      <c r="U57" s="167"/>
      <c r="V57" s="167"/>
      <c r="W57" s="168"/>
      <c r="X57" s="166">
        <v>1</v>
      </c>
      <c r="Y57" s="167"/>
      <c r="Z57" s="168"/>
    </row>
    <row r="58" spans="1:26" s="7" customFormat="1" ht="16.5" customHeight="1">
      <c r="A58" s="86"/>
      <c r="B58" s="55" t="s">
        <v>145</v>
      </c>
      <c r="C58" s="169" t="s">
        <v>146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1"/>
      <c r="O58" s="166" t="s">
        <v>0</v>
      </c>
      <c r="P58" s="167"/>
      <c r="Q58" s="167"/>
      <c r="R58" s="167"/>
      <c r="S58" s="168"/>
      <c r="T58" s="166" t="s">
        <v>147</v>
      </c>
      <c r="U58" s="167"/>
      <c r="V58" s="167"/>
      <c r="W58" s="168"/>
      <c r="X58" s="166">
        <v>1</v>
      </c>
      <c r="Y58" s="167"/>
      <c r="Z58" s="168"/>
    </row>
    <row r="59" spans="1:26" s="7" customFormat="1" ht="16.5" customHeight="1">
      <c r="A59" s="176" t="s">
        <v>148</v>
      </c>
      <c r="B59" s="55" t="s">
        <v>149</v>
      </c>
      <c r="C59" s="169" t="s">
        <v>150</v>
      </c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1"/>
      <c r="O59" s="166" t="s">
        <v>151</v>
      </c>
      <c r="P59" s="167"/>
      <c r="Q59" s="167"/>
      <c r="R59" s="167"/>
      <c r="S59" s="168"/>
      <c r="T59" s="166" t="s">
        <v>152</v>
      </c>
      <c r="U59" s="167"/>
      <c r="V59" s="167"/>
      <c r="W59" s="168"/>
      <c r="X59" s="166">
        <v>1</v>
      </c>
      <c r="Y59" s="167"/>
      <c r="Z59" s="168"/>
    </row>
    <row r="60" spans="1:26" s="7" customFormat="1" ht="16.5" customHeight="1">
      <c r="A60" s="177"/>
      <c r="B60" s="55" t="s">
        <v>153</v>
      </c>
      <c r="C60" s="169" t="s">
        <v>154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1"/>
      <c r="O60" s="166" t="s">
        <v>138</v>
      </c>
      <c r="P60" s="167"/>
      <c r="Q60" s="167"/>
      <c r="R60" s="167"/>
      <c r="S60" s="168"/>
      <c r="T60" s="166" t="s">
        <v>155</v>
      </c>
      <c r="U60" s="167"/>
      <c r="V60" s="167"/>
      <c r="W60" s="168"/>
      <c r="X60" s="166">
        <v>2</v>
      </c>
      <c r="Y60" s="167"/>
      <c r="Z60" s="168"/>
    </row>
    <row r="61" spans="1:26" s="7" customFormat="1" ht="16.5" customHeight="1">
      <c r="A61" s="177"/>
      <c r="B61" s="55" t="s">
        <v>156</v>
      </c>
      <c r="C61" s="169" t="s">
        <v>157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1"/>
      <c r="O61" s="166" t="s">
        <v>138</v>
      </c>
      <c r="P61" s="167"/>
      <c r="Q61" s="167"/>
      <c r="R61" s="167"/>
      <c r="S61" s="168"/>
      <c r="T61" s="166" t="s">
        <v>158</v>
      </c>
      <c r="U61" s="167"/>
      <c r="V61" s="167"/>
      <c r="W61" s="168"/>
      <c r="X61" s="166">
        <v>2</v>
      </c>
      <c r="Y61" s="167"/>
      <c r="Z61" s="168"/>
    </row>
    <row r="62" spans="1:26" s="7" customFormat="1" ht="16.5" customHeight="1">
      <c r="A62" s="177"/>
      <c r="B62" s="55" t="s">
        <v>159</v>
      </c>
      <c r="C62" s="169" t="s">
        <v>160</v>
      </c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1"/>
      <c r="O62" s="166" t="s">
        <v>138</v>
      </c>
      <c r="P62" s="167"/>
      <c r="Q62" s="167"/>
      <c r="R62" s="167"/>
      <c r="S62" s="168"/>
      <c r="T62" s="166" t="s">
        <v>161</v>
      </c>
      <c r="U62" s="167"/>
      <c r="V62" s="167"/>
      <c r="W62" s="168"/>
      <c r="X62" s="166">
        <v>2</v>
      </c>
      <c r="Y62" s="167"/>
      <c r="Z62" s="168"/>
    </row>
    <row r="63" spans="1:26" s="7" customFormat="1" ht="16.5" customHeight="1">
      <c r="A63" s="178"/>
      <c r="B63" s="55" t="s">
        <v>162</v>
      </c>
      <c r="C63" s="169" t="s">
        <v>163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1"/>
      <c r="O63" s="166" t="s">
        <v>138</v>
      </c>
      <c r="P63" s="167"/>
      <c r="Q63" s="167"/>
      <c r="R63" s="167"/>
      <c r="S63" s="168"/>
      <c r="T63" s="166" t="s">
        <v>164</v>
      </c>
      <c r="U63" s="167"/>
      <c r="V63" s="167"/>
      <c r="W63" s="168"/>
      <c r="X63" s="166">
        <v>22</v>
      </c>
      <c r="Y63" s="167"/>
      <c r="Z63" s="168"/>
    </row>
    <row r="64" spans="1:26" s="7" customFormat="1" ht="16.5" customHeight="1">
      <c r="A64" s="57" t="s">
        <v>165</v>
      </c>
      <c r="B64" s="55" t="s">
        <v>166</v>
      </c>
      <c r="C64" s="169" t="s">
        <v>167</v>
      </c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1"/>
      <c r="O64" s="166" t="s">
        <v>138</v>
      </c>
      <c r="P64" s="167"/>
      <c r="Q64" s="167"/>
      <c r="R64" s="167"/>
      <c r="S64" s="168"/>
      <c r="T64" s="166" t="s">
        <v>168</v>
      </c>
      <c r="U64" s="167"/>
      <c r="V64" s="167"/>
      <c r="W64" s="168"/>
      <c r="X64" s="166">
        <v>8</v>
      </c>
      <c r="Y64" s="167"/>
      <c r="Z64" s="168"/>
    </row>
    <row r="65" spans="1:26" s="7" customFormat="1" ht="16.5" customHeight="1">
      <c r="A65" s="57" t="s">
        <v>169</v>
      </c>
      <c r="B65" s="55" t="s">
        <v>170</v>
      </c>
      <c r="C65" s="169" t="s">
        <v>120</v>
      </c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1"/>
      <c r="O65" s="166" t="s">
        <v>0</v>
      </c>
      <c r="P65" s="167"/>
      <c r="Q65" s="167"/>
      <c r="R65" s="167"/>
      <c r="S65" s="168"/>
      <c r="T65" s="166" t="s">
        <v>171</v>
      </c>
      <c r="U65" s="167"/>
      <c r="V65" s="167"/>
      <c r="W65" s="168"/>
      <c r="X65" s="166">
        <v>1</v>
      </c>
      <c r="Y65" s="167"/>
      <c r="Z65" s="168"/>
    </row>
    <row r="66" spans="1:26" s="7" customFormat="1" ht="16.5" customHeight="1">
      <c r="A66" s="179" t="s">
        <v>172</v>
      </c>
      <c r="B66" s="55" t="s">
        <v>173</v>
      </c>
      <c r="C66" s="169" t="s">
        <v>154</v>
      </c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1"/>
      <c r="O66" s="166" t="s">
        <v>138</v>
      </c>
      <c r="P66" s="167"/>
      <c r="Q66" s="167"/>
      <c r="R66" s="167"/>
      <c r="S66" s="168"/>
      <c r="T66" s="166" t="s">
        <v>155</v>
      </c>
      <c r="U66" s="167"/>
      <c r="V66" s="167"/>
      <c r="W66" s="168"/>
      <c r="X66" s="166">
        <v>2</v>
      </c>
      <c r="Y66" s="167"/>
      <c r="Z66" s="168"/>
    </row>
    <row r="67" spans="1:26" s="7" customFormat="1" ht="16.5" customHeight="1">
      <c r="A67" s="180"/>
      <c r="B67" s="55" t="s">
        <v>174</v>
      </c>
      <c r="C67" s="169" t="s">
        <v>175</v>
      </c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1"/>
      <c r="O67" s="166" t="s">
        <v>138</v>
      </c>
      <c r="P67" s="167"/>
      <c r="Q67" s="167"/>
      <c r="R67" s="167"/>
      <c r="S67" s="168"/>
      <c r="T67" s="166" t="s">
        <v>176</v>
      </c>
      <c r="U67" s="167"/>
      <c r="V67" s="167"/>
      <c r="W67" s="168"/>
      <c r="X67" s="166">
        <v>1</v>
      </c>
      <c r="Y67" s="167"/>
      <c r="Z67" s="168"/>
    </row>
    <row r="68" spans="1:26" s="7" customFormat="1" ht="16.5" customHeight="1">
      <c r="A68" s="57" t="s">
        <v>177</v>
      </c>
      <c r="B68" s="55" t="s">
        <v>178</v>
      </c>
      <c r="C68" s="169" t="s">
        <v>124</v>
      </c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1"/>
      <c r="O68" s="166" t="s">
        <v>121</v>
      </c>
      <c r="P68" s="167"/>
      <c r="Q68" s="167"/>
      <c r="R68" s="167"/>
      <c r="S68" s="168"/>
      <c r="T68" s="166" t="s">
        <v>125</v>
      </c>
      <c r="U68" s="167"/>
      <c r="V68" s="167"/>
      <c r="W68" s="168"/>
      <c r="X68" s="166">
        <v>1</v>
      </c>
      <c r="Y68" s="167"/>
      <c r="Z68" s="168"/>
    </row>
    <row r="69" spans="1:26" s="7" customFormat="1" ht="16.5" customHeight="1">
      <c r="A69" s="57" t="s">
        <v>179</v>
      </c>
      <c r="B69" s="55" t="s">
        <v>180</v>
      </c>
      <c r="C69" s="169" t="s">
        <v>150</v>
      </c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1"/>
      <c r="O69" s="166" t="s">
        <v>151</v>
      </c>
      <c r="P69" s="167"/>
      <c r="Q69" s="167"/>
      <c r="R69" s="167"/>
      <c r="S69" s="168"/>
      <c r="T69" s="166" t="s">
        <v>152</v>
      </c>
      <c r="U69" s="167"/>
      <c r="V69" s="167"/>
      <c r="W69" s="168"/>
      <c r="X69" s="166">
        <v>1</v>
      </c>
      <c r="Y69" s="167"/>
      <c r="Z69" s="168"/>
    </row>
    <row r="70" spans="1:26" s="7" customFormat="1" ht="16.5" customHeight="1">
      <c r="A70" s="57" t="s">
        <v>181</v>
      </c>
      <c r="B70" s="55" t="s">
        <v>182</v>
      </c>
      <c r="C70" s="169" t="s">
        <v>110</v>
      </c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1"/>
      <c r="O70" s="166" t="s">
        <v>0</v>
      </c>
      <c r="P70" s="167"/>
      <c r="Q70" s="167"/>
      <c r="R70" s="167"/>
      <c r="S70" s="168"/>
      <c r="T70" s="166" t="s">
        <v>183</v>
      </c>
      <c r="U70" s="167"/>
      <c r="V70" s="167"/>
      <c r="W70" s="168"/>
      <c r="X70" s="166">
        <v>1</v>
      </c>
      <c r="Y70" s="167"/>
      <c r="Z70" s="168"/>
    </row>
    <row r="71" spans="1:26" s="7" customFormat="1" ht="16.5" customHeight="1">
      <c r="A71" s="57" t="s">
        <v>184</v>
      </c>
      <c r="B71" s="55" t="s">
        <v>185</v>
      </c>
      <c r="C71" s="169" t="s">
        <v>144</v>
      </c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1"/>
      <c r="O71" s="166" t="s">
        <v>0</v>
      </c>
      <c r="P71" s="167"/>
      <c r="Q71" s="167"/>
      <c r="R71" s="167"/>
      <c r="S71" s="168"/>
      <c r="T71" s="166" t="s">
        <v>40</v>
      </c>
      <c r="U71" s="167"/>
      <c r="V71" s="167"/>
      <c r="W71" s="168"/>
      <c r="X71" s="166">
        <v>1</v>
      </c>
      <c r="Y71" s="167"/>
      <c r="Z71" s="168"/>
    </row>
    <row r="72" spans="1:26" s="7" customFormat="1" ht="16.5" customHeight="1">
      <c r="A72" s="57" t="s">
        <v>186</v>
      </c>
      <c r="B72" s="55" t="s">
        <v>187</v>
      </c>
      <c r="C72" s="169" t="s">
        <v>188</v>
      </c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1"/>
      <c r="O72" s="166" t="s">
        <v>121</v>
      </c>
      <c r="P72" s="167"/>
      <c r="Q72" s="167"/>
      <c r="R72" s="167"/>
      <c r="S72" s="168"/>
      <c r="T72" s="166" t="s">
        <v>122</v>
      </c>
      <c r="U72" s="167"/>
      <c r="V72" s="167"/>
      <c r="W72" s="168"/>
      <c r="X72" s="166">
        <v>6</v>
      </c>
      <c r="Y72" s="167"/>
      <c r="Z72" s="168"/>
    </row>
    <row r="73" spans="1:26" s="7" customFormat="1" ht="16.5" customHeight="1">
      <c r="A73" s="55">
        <v>13</v>
      </c>
      <c r="B73" s="55" t="s">
        <v>189</v>
      </c>
      <c r="C73" s="181" t="s">
        <v>190</v>
      </c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3"/>
      <c r="O73" s="184" t="s">
        <v>0</v>
      </c>
      <c r="P73" s="185"/>
      <c r="Q73" s="185"/>
      <c r="R73" s="185"/>
      <c r="S73" s="186"/>
      <c r="T73" s="166" t="s">
        <v>111</v>
      </c>
      <c r="U73" s="167"/>
      <c r="V73" s="167"/>
      <c r="W73" s="168"/>
      <c r="X73" s="166">
        <v>1</v>
      </c>
      <c r="Y73" s="167"/>
      <c r="Z73" s="168"/>
    </row>
    <row r="74" spans="1:26" s="7" customFormat="1" ht="16.5" customHeight="1">
      <c r="A74" s="55" t="s">
        <v>3</v>
      </c>
      <c r="B74" s="55" t="s">
        <v>191</v>
      </c>
      <c r="C74" s="181" t="s">
        <v>192</v>
      </c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3"/>
      <c r="O74" s="184" t="s">
        <v>0</v>
      </c>
      <c r="P74" s="185"/>
      <c r="Q74" s="185"/>
      <c r="R74" s="185"/>
      <c r="S74" s="186"/>
      <c r="T74" s="166" t="s">
        <v>114</v>
      </c>
      <c r="U74" s="167"/>
      <c r="V74" s="167"/>
      <c r="W74" s="168"/>
      <c r="X74" s="166">
        <v>1</v>
      </c>
      <c r="Y74" s="167"/>
      <c r="Z74" s="168"/>
    </row>
    <row r="75" spans="1:26" s="7" customFormat="1" ht="16.5" customHeight="1">
      <c r="A75" s="55" t="s">
        <v>3</v>
      </c>
      <c r="B75" s="55" t="s">
        <v>193</v>
      </c>
      <c r="C75" s="181" t="s">
        <v>194</v>
      </c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3"/>
      <c r="O75" s="184" t="s">
        <v>117</v>
      </c>
      <c r="P75" s="185"/>
      <c r="Q75" s="185"/>
      <c r="R75" s="185"/>
      <c r="S75" s="186"/>
      <c r="T75" s="166" t="s">
        <v>118</v>
      </c>
      <c r="U75" s="167"/>
      <c r="V75" s="167"/>
      <c r="W75" s="168"/>
      <c r="X75" s="166">
        <v>6</v>
      </c>
      <c r="Y75" s="167"/>
      <c r="Z75" s="168"/>
    </row>
    <row r="76" spans="1:26" s="7" customFormat="1" ht="16.5" customHeight="1">
      <c r="A76" s="55" t="s">
        <v>3</v>
      </c>
      <c r="B76" s="55" t="s">
        <v>195</v>
      </c>
      <c r="C76" s="181" t="s">
        <v>196</v>
      </c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3"/>
      <c r="O76" s="184" t="s">
        <v>121</v>
      </c>
      <c r="P76" s="185"/>
      <c r="Q76" s="185"/>
      <c r="R76" s="185"/>
      <c r="S76" s="186"/>
      <c r="T76" s="166" t="s">
        <v>122</v>
      </c>
      <c r="U76" s="167"/>
      <c r="V76" s="167"/>
      <c r="W76" s="168"/>
      <c r="X76" s="166">
        <v>6</v>
      </c>
      <c r="Y76" s="167"/>
      <c r="Z76" s="168"/>
    </row>
    <row r="77" spans="1:26" s="7" customFormat="1" ht="16.5" customHeight="1">
      <c r="A77" s="55" t="s">
        <v>3</v>
      </c>
      <c r="B77" s="55" t="s">
        <v>197</v>
      </c>
      <c r="C77" s="181" t="s">
        <v>198</v>
      </c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3"/>
      <c r="O77" s="184" t="s">
        <v>121</v>
      </c>
      <c r="P77" s="185"/>
      <c r="Q77" s="185"/>
      <c r="R77" s="185"/>
      <c r="S77" s="186"/>
      <c r="T77" s="166" t="s">
        <v>125</v>
      </c>
      <c r="U77" s="167"/>
      <c r="V77" s="167"/>
      <c r="W77" s="168"/>
      <c r="X77" s="166">
        <v>6</v>
      </c>
      <c r="Y77" s="167"/>
      <c r="Z77" s="168"/>
    </row>
    <row r="78" spans="1:26" s="7" customFormat="1" ht="16.5" customHeight="1">
      <c r="A78" s="55">
        <v>14</v>
      </c>
      <c r="B78" s="10" t="s">
        <v>199</v>
      </c>
      <c r="C78" s="181" t="s">
        <v>200</v>
      </c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8"/>
      <c r="O78" s="184" t="s">
        <v>138</v>
      </c>
      <c r="P78" s="185"/>
      <c r="Q78" s="185"/>
      <c r="R78" s="185"/>
      <c r="S78" s="186"/>
      <c r="T78" s="166" t="s">
        <v>139</v>
      </c>
      <c r="U78" s="167"/>
      <c r="V78" s="167"/>
      <c r="W78" s="168"/>
      <c r="X78" s="187">
        <v>1</v>
      </c>
      <c r="Y78" s="188"/>
      <c r="Z78" s="189"/>
    </row>
    <row r="79" spans="1:26" s="7" customFormat="1" ht="16.5" customHeight="1">
      <c r="A79" s="55" t="s">
        <v>3</v>
      </c>
      <c r="B79" s="10" t="s">
        <v>201</v>
      </c>
      <c r="C79" s="181" t="s">
        <v>202</v>
      </c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8"/>
      <c r="O79" s="184" t="s">
        <v>138</v>
      </c>
      <c r="P79" s="185"/>
      <c r="Q79" s="185"/>
      <c r="R79" s="185"/>
      <c r="S79" s="186"/>
      <c r="T79" s="166" t="s">
        <v>142</v>
      </c>
      <c r="U79" s="167"/>
      <c r="V79" s="167"/>
      <c r="W79" s="168"/>
      <c r="X79" s="187">
        <v>4</v>
      </c>
      <c r="Y79" s="188"/>
      <c r="Z79" s="189"/>
    </row>
    <row r="80" spans="1:26" s="7" customFormat="1" ht="16.5" customHeight="1">
      <c r="A80" s="55" t="s">
        <v>3</v>
      </c>
      <c r="B80" s="10" t="s">
        <v>203</v>
      </c>
      <c r="C80" s="181" t="s">
        <v>48</v>
      </c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8"/>
      <c r="O80" s="184" t="s">
        <v>0</v>
      </c>
      <c r="P80" s="185"/>
      <c r="Q80" s="185"/>
      <c r="R80" s="185"/>
      <c r="S80" s="186"/>
      <c r="T80" s="166" t="s">
        <v>40</v>
      </c>
      <c r="U80" s="167"/>
      <c r="V80" s="167"/>
      <c r="W80" s="168"/>
      <c r="X80" s="187">
        <v>1</v>
      </c>
      <c r="Y80" s="188"/>
      <c r="Z80" s="189"/>
    </row>
    <row r="81" spans="1:26" s="7" customFormat="1" ht="16.5" customHeight="1">
      <c r="A81" s="55" t="s">
        <v>3</v>
      </c>
      <c r="B81" s="10" t="s">
        <v>204</v>
      </c>
      <c r="C81" s="181" t="s">
        <v>205</v>
      </c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8"/>
      <c r="O81" s="184" t="s">
        <v>0</v>
      </c>
      <c r="P81" s="185"/>
      <c r="Q81" s="185"/>
      <c r="R81" s="185"/>
      <c r="S81" s="186"/>
      <c r="T81" s="166" t="s">
        <v>147</v>
      </c>
      <c r="U81" s="167"/>
      <c r="V81" s="167"/>
      <c r="W81" s="168"/>
      <c r="X81" s="187">
        <v>1</v>
      </c>
      <c r="Y81" s="188"/>
      <c r="Z81" s="189"/>
    </row>
    <row r="82" spans="1:26" s="7" customFormat="1" ht="16.5" customHeight="1">
      <c r="A82" s="55">
        <v>15</v>
      </c>
      <c r="B82" s="55" t="s">
        <v>206</v>
      </c>
      <c r="C82" s="181" t="s">
        <v>207</v>
      </c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8"/>
      <c r="O82" s="166" t="s">
        <v>151</v>
      </c>
      <c r="P82" s="167"/>
      <c r="Q82" s="167"/>
      <c r="R82" s="167"/>
      <c r="S82" s="168"/>
      <c r="T82" s="166" t="s">
        <v>152</v>
      </c>
      <c r="U82" s="167"/>
      <c r="V82" s="167"/>
      <c r="W82" s="168"/>
      <c r="X82" s="166">
        <v>1</v>
      </c>
      <c r="Y82" s="167"/>
      <c r="Z82" s="168"/>
    </row>
    <row r="83" spans="1:26" s="7" customFormat="1" ht="16.5" customHeight="1">
      <c r="A83" s="55" t="s">
        <v>3</v>
      </c>
      <c r="B83" s="55" t="s">
        <v>208</v>
      </c>
      <c r="C83" s="181" t="s">
        <v>209</v>
      </c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8"/>
      <c r="O83" s="184" t="s">
        <v>138</v>
      </c>
      <c r="P83" s="185"/>
      <c r="Q83" s="185"/>
      <c r="R83" s="185"/>
      <c r="S83" s="186"/>
      <c r="T83" s="166" t="s">
        <v>155</v>
      </c>
      <c r="U83" s="167"/>
      <c r="V83" s="167"/>
      <c r="W83" s="168"/>
      <c r="X83" s="166">
        <v>2</v>
      </c>
      <c r="Y83" s="167"/>
      <c r="Z83" s="168"/>
    </row>
    <row r="84" spans="1:26" s="7" customFormat="1" ht="16.5" customHeight="1">
      <c r="A84" s="55" t="s">
        <v>3</v>
      </c>
      <c r="B84" s="55" t="s">
        <v>210</v>
      </c>
      <c r="C84" s="181" t="s">
        <v>211</v>
      </c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8"/>
      <c r="O84" s="184" t="s">
        <v>138</v>
      </c>
      <c r="P84" s="185"/>
      <c r="Q84" s="185"/>
      <c r="R84" s="185"/>
      <c r="S84" s="186"/>
      <c r="T84" s="166" t="s">
        <v>158</v>
      </c>
      <c r="U84" s="167"/>
      <c r="V84" s="167"/>
      <c r="W84" s="168"/>
      <c r="X84" s="166">
        <v>2</v>
      </c>
      <c r="Y84" s="167"/>
      <c r="Z84" s="168"/>
    </row>
    <row r="85" spans="1:26" s="7" customFormat="1" ht="16.5" customHeight="1">
      <c r="A85" s="55" t="s">
        <v>3</v>
      </c>
      <c r="B85" s="55" t="s">
        <v>212</v>
      </c>
      <c r="C85" s="181" t="s">
        <v>213</v>
      </c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8"/>
      <c r="O85" s="184" t="s">
        <v>138</v>
      </c>
      <c r="P85" s="185"/>
      <c r="Q85" s="185"/>
      <c r="R85" s="185"/>
      <c r="S85" s="186"/>
      <c r="T85" s="166" t="s">
        <v>161</v>
      </c>
      <c r="U85" s="167"/>
      <c r="V85" s="167"/>
      <c r="W85" s="168"/>
      <c r="X85" s="166">
        <v>2</v>
      </c>
      <c r="Y85" s="167"/>
      <c r="Z85" s="168"/>
    </row>
    <row r="86" spans="1:26" s="7" customFormat="1" ht="16.5" customHeight="1">
      <c r="A86" s="55" t="s">
        <v>3</v>
      </c>
      <c r="B86" s="55" t="s">
        <v>214</v>
      </c>
      <c r="C86" s="181" t="s">
        <v>215</v>
      </c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8"/>
      <c r="O86" s="184" t="s">
        <v>138</v>
      </c>
      <c r="P86" s="185"/>
      <c r="Q86" s="185"/>
      <c r="R86" s="185"/>
      <c r="S86" s="186"/>
      <c r="T86" s="166" t="s">
        <v>164</v>
      </c>
      <c r="U86" s="167"/>
      <c r="V86" s="167"/>
      <c r="W86" s="168"/>
      <c r="X86" s="166">
        <v>2</v>
      </c>
      <c r="Y86" s="167"/>
      <c r="Z86" s="168"/>
    </row>
    <row r="87" spans="1:26" s="7" customFormat="1" ht="20.399999999999999" customHeight="1">
      <c r="A87" s="8" t="s">
        <v>3</v>
      </c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</row>
    <row r="88" spans="1:26" ht="15.6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</sheetData>
  <mergeCells count="267">
    <mergeCell ref="C86:N86"/>
    <mergeCell ref="O86:S86"/>
    <mergeCell ref="T86:W86"/>
    <mergeCell ref="X86:Z86"/>
    <mergeCell ref="C87:N87"/>
    <mergeCell ref="O87:S87"/>
    <mergeCell ref="T87:W87"/>
    <mergeCell ref="X87:Z87"/>
    <mergeCell ref="C84:N84"/>
    <mergeCell ref="O84:S84"/>
    <mergeCell ref="T84:W84"/>
    <mergeCell ref="X84:Z84"/>
    <mergeCell ref="C85:N85"/>
    <mergeCell ref="O85:S85"/>
    <mergeCell ref="T85:W85"/>
    <mergeCell ref="X85:Z85"/>
    <mergeCell ref="C82:N82"/>
    <mergeCell ref="O82:S82"/>
    <mergeCell ref="T82:W82"/>
    <mergeCell ref="X82:Z82"/>
    <mergeCell ref="C83:N83"/>
    <mergeCell ref="O83:S83"/>
    <mergeCell ref="T83:W83"/>
    <mergeCell ref="X83:Z83"/>
    <mergeCell ref="C80:N80"/>
    <mergeCell ref="O80:S80"/>
    <mergeCell ref="T80:W80"/>
    <mergeCell ref="X80:Z80"/>
    <mergeCell ref="C81:N81"/>
    <mergeCell ref="O81:S81"/>
    <mergeCell ref="T81:W81"/>
    <mergeCell ref="X81:Z81"/>
    <mergeCell ref="C78:N78"/>
    <mergeCell ref="O78:S78"/>
    <mergeCell ref="T78:W78"/>
    <mergeCell ref="X78:Z78"/>
    <mergeCell ref="C79:N79"/>
    <mergeCell ref="O79:S79"/>
    <mergeCell ref="T79:W79"/>
    <mergeCell ref="X79:Z79"/>
    <mergeCell ref="C76:N76"/>
    <mergeCell ref="O76:S76"/>
    <mergeCell ref="T76:W76"/>
    <mergeCell ref="X76:Z76"/>
    <mergeCell ref="C77:N77"/>
    <mergeCell ref="O77:S77"/>
    <mergeCell ref="T77:W77"/>
    <mergeCell ref="X77:Z77"/>
    <mergeCell ref="C74:N74"/>
    <mergeCell ref="O74:S74"/>
    <mergeCell ref="T74:W74"/>
    <mergeCell ref="X74:Z74"/>
    <mergeCell ref="C75:N75"/>
    <mergeCell ref="O75:S75"/>
    <mergeCell ref="T75:W75"/>
    <mergeCell ref="X75:Z75"/>
    <mergeCell ref="C72:N72"/>
    <mergeCell ref="O72:S72"/>
    <mergeCell ref="T72:W72"/>
    <mergeCell ref="X72:Z72"/>
    <mergeCell ref="C73:N73"/>
    <mergeCell ref="O73:S73"/>
    <mergeCell ref="T73:W73"/>
    <mergeCell ref="X73:Z73"/>
    <mergeCell ref="C70:N70"/>
    <mergeCell ref="O70:S70"/>
    <mergeCell ref="T70:W70"/>
    <mergeCell ref="X70:Z70"/>
    <mergeCell ref="C71:N71"/>
    <mergeCell ref="O71:S71"/>
    <mergeCell ref="T71:W71"/>
    <mergeCell ref="X71:Z71"/>
    <mergeCell ref="C68:N68"/>
    <mergeCell ref="O68:S68"/>
    <mergeCell ref="T68:W68"/>
    <mergeCell ref="X68:Z68"/>
    <mergeCell ref="C69:N69"/>
    <mergeCell ref="O69:S69"/>
    <mergeCell ref="T69:W69"/>
    <mergeCell ref="X69:Z69"/>
    <mergeCell ref="A66:A67"/>
    <mergeCell ref="C66:N66"/>
    <mergeCell ref="O66:S66"/>
    <mergeCell ref="T66:W66"/>
    <mergeCell ref="X66:Z66"/>
    <mergeCell ref="C67:N67"/>
    <mergeCell ref="O67:S67"/>
    <mergeCell ref="T67:W67"/>
    <mergeCell ref="X67:Z67"/>
    <mergeCell ref="C65:N65"/>
    <mergeCell ref="O65:S65"/>
    <mergeCell ref="T65:W65"/>
    <mergeCell ref="X65:Z65"/>
    <mergeCell ref="C62:N62"/>
    <mergeCell ref="O62:S62"/>
    <mergeCell ref="T62:W62"/>
    <mergeCell ref="X62:Z62"/>
    <mergeCell ref="C63:N63"/>
    <mergeCell ref="O63:S63"/>
    <mergeCell ref="T63:W63"/>
    <mergeCell ref="X63:Z63"/>
    <mergeCell ref="T61:W61"/>
    <mergeCell ref="X61:Z61"/>
    <mergeCell ref="C58:N58"/>
    <mergeCell ref="O58:S58"/>
    <mergeCell ref="T58:W58"/>
    <mergeCell ref="X58:Z58"/>
    <mergeCell ref="C64:N64"/>
    <mergeCell ref="O64:S64"/>
    <mergeCell ref="T64:W64"/>
    <mergeCell ref="X64:Z64"/>
    <mergeCell ref="A55:A58"/>
    <mergeCell ref="C55:N55"/>
    <mergeCell ref="O55:S55"/>
    <mergeCell ref="T55:W55"/>
    <mergeCell ref="X55:Z55"/>
    <mergeCell ref="C56:N56"/>
    <mergeCell ref="O56:S56"/>
    <mergeCell ref="A59:A63"/>
    <mergeCell ref="C59:N59"/>
    <mergeCell ref="O59:S59"/>
    <mergeCell ref="T59:W59"/>
    <mergeCell ref="X59:Z59"/>
    <mergeCell ref="C60:N60"/>
    <mergeCell ref="T56:W56"/>
    <mergeCell ref="X56:Z56"/>
    <mergeCell ref="C57:N57"/>
    <mergeCell ref="O57:S57"/>
    <mergeCell ref="T57:W57"/>
    <mergeCell ref="X57:Z57"/>
    <mergeCell ref="O60:S60"/>
    <mergeCell ref="T60:W60"/>
    <mergeCell ref="X60:Z60"/>
    <mergeCell ref="C61:N61"/>
    <mergeCell ref="O61:S61"/>
    <mergeCell ref="A53:A54"/>
    <mergeCell ref="C53:N53"/>
    <mergeCell ref="O53:S53"/>
    <mergeCell ref="T53:W53"/>
    <mergeCell ref="X53:Z53"/>
    <mergeCell ref="C54:N54"/>
    <mergeCell ref="O54:S54"/>
    <mergeCell ref="T54:W54"/>
    <mergeCell ref="X54:Z54"/>
    <mergeCell ref="O50:S50"/>
    <mergeCell ref="T50:W50"/>
    <mergeCell ref="X50:Z50"/>
    <mergeCell ref="C51:N51"/>
    <mergeCell ref="O51:S51"/>
    <mergeCell ref="T51:W51"/>
    <mergeCell ref="X51:Z51"/>
    <mergeCell ref="A48:A52"/>
    <mergeCell ref="C48:N48"/>
    <mergeCell ref="O48:S48"/>
    <mergeCell ref="T48:W48"/>
    <mergeCell ref="X48:Z48"/>
    <mergeCell ref="C49:N49"/>
    <mergeCell ref="O49:S49"/>
    <mergeCell ref="T49:W49"/>
    <mergeCell ref="X49:Z49"/>
    <mergeCell ref="C50:N50"/>
    <mergeCell ref="C52:N52"/>
    <mergeCell ref="O52:S52"/>
    <mergeCell ref="T52:W52"/>
    <mergeCell ref="X52:Z52"/>
    <mergeCell ref="L46:M46"/>
    <mergeCell ref="C47:N47"/>
    <mergeCell ref="O47:S47"/>
    <mergeCell ref="T47:W47"/>
    <mergeCell ref="X47:Z47"/>
    <mergeCell ref="A36:B36"/>
    <mergeCell ref="C36:J36"/>
    <mergeCell ref="L36:M36"/>
    <mergeCell ref="L37:M37"/>
    <mergeCell ref="A34:B34"/>
    <mergeCell ref="C34:F34"/>
    <mergeCell ref="G34:J34"/>
    <mergeCell ref="L34:M34"/>
    <mergeCell ref="A35:B35"/>
    <mergeCell ref="C35:F35"/>
    <mergeCell ref="G35:J35"/>
    <mergeCell ref="L35:M35"/>
    <mergeCell ref="A32:B32"/>
    <mergeCell ref="C32:F32"/>
    <mergeCell ref="G32:J32"/>
    <mergeCell ref="L32:M32"/>
    <mergeCell ref="A33:B33"/>
    <mergeCell ref="C33:F33"/>
    <mergeCell ref="G33:J33"/>
    <mergeCell ref="L33:M33"/>
    <mergeCell ref="A30:B30"/>
    <mergeCell ref="C30:F30"/>
    <mergeCell ref="G30:J30"/>
    <mergeCell ref="L30:M30"/>
    <mergeCell ref="A31:B31"/>
    <mergeCell ref="C31:F31"/>
    <mergeCell ref="G31:J31"/>
    <mergeCell ref="L31:M31"/>
    <mergeCell ref="A28:B28"/>
    <mergeCell ref="C28:F28"/>
    <mergeCell ref="G28:J28"/>
    <mergeCell ref="L28:M28"/>
    <mergeCell ref="A29:B29"/>
    <mergeCell ref="C29:F29"/>
    <mergeCell ref="G29:J29"/>
    <mergeCell ref="L29:M29"/>
    <mergeCell ref="C25:H25"/>
    <mergeCell ref="I25:N25"/>
    <mergeCell ref="O25:T25"/>
    <mergeCell ref="U25:Z25"/>
    <mergeCell ref="C26:F26"/>
    <mergeCell ref="A27:J27"/>
    <mergeCell ref="C23:H23"/>
    <mergeCell ref="I23:N23"/>
    <mergeCell ref="O23:T23"/>
    <mergeCell ref="U23:Z23"/>
    <mergeCell ref="C24:H24"/>
    <mergeCell ref="I24:N24"/>
    <mergeCell ref="O24:T24"/>
    <mergeCell ref="U24:Z24"/>
    <mergeCell ref="C22:H22"/>
    <mergeCell ref="I22:N22"/>
    <mergeCell ref="O22:T22"/>
    <mergeCell ref="U22:Z22"/>
    <mergeCell ref="I19:N19"/>
    <mergeCell ref="O19:T19"/>
    <mergeCell ref="U19:Z19"/>
    <mergeCell ref="C20:H20"/>
    <mergeCell ref="I20:N20"/>
    <mergeCell ref="O20:T20"/>
    <mergeCell ref="U20:Z20"/>
    <mergeCell ref="A17:A21"/>
    <mergeCell ref="C17:H17"/>
    <mergeCell ref="I17:N17"/>
    <mergeCell ref="O17:T17"/>
    <mergeCell ref="U17:Z17"/>
    <mergeCell ref="C18:H18"/>
    <mergeCell ref="I18:N18"/>
    <mergeCell ref="O18:T18"/>
    <mergeCell ref="U18:Z18"/>
    <mergeCell ref="C19:H19"/>
    <mergeCell ref="C21:H21"/>
    <mergeCell ref="I21:N21"/>
    <mergeCell ref="O21:T21"/>
    <mergeCell ref="U21:Z21"/>
    <mergeCell ref="O14:T15"/>
    <mergeCell ref="U14:Z15"/>
    <mergeCell ref="C16:H16"/>
    <mergeCell ref="I16:N16"/>
    <mergeCell ref="O16:T16"/>
    <mergeCell ref="U16:Z16"/>
    <mergeCell ref="G11:J11"/>
    <mergeCell ref="G12:J12"/>
    <mergeCell ref="A14:A15"/>
    <mergeCell ref="B14:B15"/>
    <mergeCell ref="C14:H15"/>
    <mergeCell ref="I14:N15"/>
    <mergeCell ref="A1:V5"/>
    <mergeCell ref="A6:Z6"/>
    <mergeCell ref="A7:B7"/>
    <mergeCell ref="G7:K7"/>
    <mergeCell ref="G8:J8"/>
    <mergeCell ref="A9:B9"/>
    <mergeCell ref="G9:J9"/>
    <mergeCell ref="S9:V10"/>
    <mergeCell ref="D10:F10"/>
    <mergeCell ref="G10:J10"/>
  </mergeCells>
  <pageMargins left="0.45" right="0.2" top="0.5" bottom="0.25" header="0.3" footer="0.3"/>
  <pageSetup scale="7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323B-9AC2-42BA-9721-0A2207AA93E2}">
  <sheetPr>
    <pageSetUpPr fitToPage="1"/>
  </sheetPr>
  <dimension ref="A1:Z28"/>
  <sheetViews>
    <sheetView zoomScale="92" zoomScaleNormal="92" workbookViewId="0">
      <selection activeCell="W7" sqref="W7"/>
    </sheetView>
  </sheetViews>
  <sheetFormatPr defaultRowHeight="14.4"/>
  <cols>
    <col min="1" max="1" width="10.77734375" customWidth="1"/>
    <col min="2" max="2" width="56.33203125" customWidth="1"/>
    <col min="3" max="18" width="3.88671875" customWidth="1"/>
    <col min="19" max="20" width="4.44140625" customWidth="1"/>
    <col min="21" max="26" width="4.88671875" customWidth="1"/>
  </cols>
  <sheetData>
    <row r="1" spans="1:26" ht="15">
      <c r="A1" s="124" t="s">
        <v>68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45"/>
      <c r="X1" s="45"/>
      <c r="Y1" s="45"/>
      <c r="Z1" s="45"/>
    </row>
    <row r="2" spans="1:26" ht="1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45"/>
      <c r="X2" s="45"/>
      <c r="Y2" s="45"/>
      <c r="Z2" s="45"/>
    </row>
    <row r="3" spans="1:26" ht="15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45"/>
      <c r="X3" s="45"/>
      <c r="Y3" s="45"/>
      <c r="Z3" s="45"/>
    </row>
    <row r="4" spans="1:26" ht="15">
      <c r="A4" s="124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45"/>
      <c r="X4" s="45"/>
      <c r="Y4" s="45"/>
      <c r="Z4" s="45"/>
    </row>
    <row r="5" spans="1:26" ht="15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45"/>
      <c r="X5" s="45"/>
      <c r="Y5" s="45"/>
      <c r="Z5" s="45"/>
    </row>
    <row r="6" spans="1:26" ht="30">
      <c r="A6" s="125" t="s">
        <v>216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s="7" customFormat="1" ht="18" customHeight="1">
      <c r="A7" s="126" t="s">
        <v>216</v>
      </c>
      <c r="B7" s="126"/>
      <c r="C7" s="42" t="s">
        <v>70</v>
      </c>
      <c r="E7" s="16"/>
      <c r="F7" s="16"/>
      <c r="G7" s="127" t="str">
        <f>'ใบงาน Agilent_JOB 11'!F7</f>
        <v>xxxx</v>
      </c>
      <c r="H7" s="127"/>
      <c r="I7" s="127"/>
      <c r="J7" s="127"/>
      <c r="L7" s="16"/>
      <c r="M7" s="16"/>
      <c r="N7" s="16"/>
      <c r="O7" s="16"/>
      <c r="P7" s="16"/>
      <c r="Q7" s="16"/>
      <c r="R7" s="16"/>
      <c r="S7" s="46" t="s">
        <v>57</v>
      </c>
      <c r="W7" s="35" t="str">
        <f>'ใบงาน Agilent_JOB 11'!M7</f>
        <v>xxxx</v>
      </c>
      <c r="X7" s="35"/>
      <c r="Y7" s="35"/>
      <c r="Z7" s="35"/>
    </row>
    <row r="8" spans="1:26" s="7" customFormat="1" ht="30.45" customHeight="1">
      <c r="A8" s="48" t="s">
        <v>71</v>
      </c>
      <c r="B8" s="47" t="str">
        <f>'ใบงาน Agilent_JOB 11'!F8</f>
        <v>K9801-60095</v>
      </c>
      <c r="C8" s="47" t="s">
        <v>72</v>
      </c>
      <c r="D8" s="47"/>
      <c r="E8" s="47"/>
      <c r="F8" s="47"/>
      <c r="G8" s="128" t="str">
        <f>'ใบงาน Agilent_JOB 11'!F9</f>
        <v>-</v>
      </c>
      <c r="H8" s="128"/>
      <c r="I8" s="128"/>
      <c r="J8" s="128"/>
      <c r="K8" s="41"/>
      <c r="L8" s="41"/>
      <c r="M8" s="41"/>
      <c r="N8" s="41"/>
      <c r="O8" s="41"/>
      <c r="P8" s="41"/>
      <c r="Q8" s="41"/>
      <c r="R8" s="41"/>
      <c r="S8" s="41" t="s">
        <v>227</v>
      </c>
      <c r="T8" s="41"/>
      <c r="X8" s="7" t="str">
        <f>'ใบงาน Agilent_JOB 11'!N9</f>
        <v>PO12345</v>
      </c>
    </row>
    <row r="9" spans="1:26" s="7" customFormat="1" ht="18" customHeight="1">
      <c r="A9" s="191" t="s">
        <v>3</v>
      </c>
      <c r="B9" s="191"/>
      <c r="C9" s="61"/>
      <c r="D9" s="61"/>
      <c r="E9" s="61"/>
      <c r="F9" s="61"/>
      <c r="G9" s="128" t="s">
        <v>3</v>
      </c>
      <c r="H9" s="128"/>
      <c r="I9" s="128"/>
      <c r="J9" s="128"/>
      <c r="L9" s="16"/>
      <c r="M9" s="16"/>
      <c r="N9" s="16"/>
      <c r="O9" s="16"/>
      <c r="P9" s="16"/>
      <c r="Q9" s="16"/>
      <c r="R9" s="16"/>
    </row>
    <row r="10" spans="1:26" s="7" customFormat="1" ht="18" customHeight="1">
      <c r="A10" s="41" t="s">
        <v>217</v>
      </c>
      <c r="B10" s="16">
        <f>'ใบงาน Agilent_JOB 11'!N8/50</f>
        <v>40</v>
      </c>
      <c r="C10" s="16"/>
      <c r="D10" s="127" t="s">
        <v>3</v>
      </c>
      <c r="E10" s="127"/>
      <c r="F10" s="127"/>
      <c r="G10" s="129" t="s">
        <v>3</v>
      </c>
      <c r="H10" s="129"/>
      <c r="I10" s="129"/>
      <c r="J10" s="129"/>
      <c r="K10" s="42"/>
      <c r="L10" s="16"/>
      <c r="M10" s="16"/>
      <c r="N10" s="16"/>
      <c r="O10" s="16"/>
      <c r="P10" s="16"/>
      <c r="Q10" s="16"/>
      <c r="R10" s="16"/>
    </row>
    <row r="11" spans="1:26" s="7" customFormat="1" ht="13.8">
      <c r="B11" s="127"/>
      <c r="C11" s="16"/>
      <c r="D11" s="16"/>
      <c r="E11" s="16"/>
      <c r="F11" s="16"/>
      <c r="G11" s="129" t="s">
        <v>3</v>
      </c>
      <c r="H11" s="129"/>
      <c r="I11" s="129"/>
      <c r="J11" s="129"/>
      <c r="K11" s="16"/>
      <c r="L11" s="16"/>
      <c r="M11" s="16"/>
      <c r="N11" s="16"/>
      <c r="O11" s="16"/>
      <c r="P11" s="16"/>
      <c r="Q11" s="16"/>
      <c r="R11" s="16"/>
      <c r="S11" s="111" t="s">
        <v>73</v>
      </c>
      <c r="T11" s="111"/>
      <c r="U11" s="111"/>
      <c r="V11" s="111"/>
    </row>
    <row r="12" spans="1:26" s="7" customFormat="1" ht="13.8">
      <c r="A12" s="16" t="s">
        <v>218</v>
      </c>
      <c r="B12" s="127"/>
      <c r="C12" s="16"/>
      <c r="D12" s="16"/>
      <c r="E12" s="16"/>
      <c r="F12" s="16"/>
      <c r="G12" s="129" t="s">
        <v>3</v>
      </c>
      <c r="H12" s="129"/>
      <c r="I12" s="129"/>
      <c r="J12" s="129"/>
      <c r="K12" s="16"/>
      <c r="L12" s="16"/>
      <c r="M12" s="16"/>
      <c r="N12" s="16"/>
      <c r="O12" s="16"/>
      <c r="P12" s="16"/>
      <c r="Q12" s="16"/>
      <c r="R12" s="16"/>
      <c r="S12" s="111"/>
      <c r="T12" s="111"/>
      <c r="U12" s="111"/>
      <c r="V12" s="111"/>
    </row>
    <row r="13" spans="1:26" s="7" customFormat="1" ht="13.8">
      <c r="A13" s="16"/>
      <c r="B13" s="192"/>
      <c r="C13" s="16"/>
      <c r="D13" s="16"/>
      <c r="E13" s="16"/>
      <c r="F13" s="16"/>
      <c r="G13" s="42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6" s="7" customFormat="1" ht="13.8">
      <c r="A14" s="138" t="s">
        <v>15</v>
      </c>
      <c r="B14" s="138" t="s">
        <v>76</v>
      </c>
      <c r="C14" s="130" t="s">
        <v>77</v>
      </c>
      <c r="D14" s="139"/>
      <c r="E14" s="139"/>
      <c r="F14" s="139"/>
      <c r="G14" s="139"/>
      <c r="H14" s="140"/>
      <c r="I14" s="130" t="s">
        <v>21</v>
      </c>
      <c r="J14" s="139"/>
      <c r="K14" s="139"/>
      <c r="L14" s="139"/>
      <c r="M14" s="139"/>
      <c r="N14" s="140"/>
      <c r="O14" s="130" t="s">
        <v>22</v>
      </c>
      <c r="P14" s="131"/>
      <c r="Q14" s="131"/>
      <c r="R14" s="131"/>
      <c r="S14" s="131"/>
      <c r="T14" s="132"/>
      <c r="U14" s="136" t="s">
        <v>78</v>
      </c>
      <c r="V14" s="136"/>
      <c r="W14" s="136"/>
      <c r="X14" s="136"/>
      <c r="Y14" s="136"/>
      <c r="Z14" s="136"/>
    </row>
    <row r="15" spans="1:26" s="7" customFormat="1" ht="13.8">
      <c r="A15" s="88"/>
      <c r="B15" s="138"/>
      <c r="C15" s="141"/>
      <c r="D15" s="142"/>
      <c r="E15" s="142"/>
      <c r="F15" s="142"/>
      <c r="G15" s="142"/>
      <c r="H15" s="143"/>
      <c r="I15" s="141"/>
      <c r="J15" s="142"/>
      <c r="K15" s="142"/>
      <c r="L15" s="142"/>
      <c r="M15" s="142"/>
      <c r="N15" s="143"/>
      <c r="O15" s="133"/>
      <c r="P15" s="134"/>
      <c r="Q15" s="134"/>
      <c r="R15" s="134"/>
      <c r="S15" s="134"/>
      <c r="T15" s="135"/>
      <c r="U15" s="136"/>
      <c r="V15" s="136"/>
      <c r="W15" s="136"/>
      <c r="X15" s="136"/>
      <c r="Y15" s="136"/>
      <c r="Z15" s="136"/>
    </row>
    <row r="16" spans="1:26" s="51" customFormat="1" ht="17.399999999999999">
      <c r="A16" s="144">
        <v>1</v>
      </c>
      <c r="B16" s="52" t="s">
        <v>80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s="51" customFormat="1" ht="17.399999999999999">
      <c r="A17" s="145"/>
      <c r="B17" s="52" t="s">
        <v>81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 s="51" customFormat="1" ht="17.399999999999999">
      <c r="A18" s="145"/>
      <c r="B18" s="52" t="s">
        <v>82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spans="1:26" s="51" customFormat="1" ht="17.399999999999999">
      <c r="A19" s="145"/>
      <c r="B19" s="52" t="s">
        <v>83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spans="1:26" s="51" customFormat="1" ht="17.399999999999999">
      <c r="A20" s="146"/>
      <c r="B20" s="52" t="s">
        <v>84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spans="1:26" s="51" customFormat="1" ht="17.399999999999999">
      <c r="A21" s="49">
        <v>2</v>
      </c>
      <c r="B21" s="50" t="s">
        <v>85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spans="1:26" s="51" customFormat="1" ht="17.399999999999999">
      <c r="A22" s="49">
        <v>3</v>
      </c>
      <c r="B22" s="50" t="s">
        <v>219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s="51" customFormat="1" ht="17.399999999999999">
      <c r="A23" s="49">
        <v>4</v>
      </c>
      <c r="B23" s="50" t="s">
        <v>220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spans="1:26" s="7" customFormat="1" ht="13.8">
      <c r="A24" s="8"/>
      <c r="C24" s="147"/>
      <c r="D24" s="147"/>
      <c r="E24" s="147"/>
      <c r="F24" s="147"/>
    </row>
    <row r="25" spans="1:26" s="53" customFormat="1" ht="15">
      <c r="A25" s="54"/>
      <c r="L25" s="152"/>
      <c r="M25" s="152"/>
    </row>
    <row r="26" spans="1:26" s="7" customFormat="1" ht="13.8">
      <c r="A26" s="8"/>
      <c r="L26" s="147"/>
      <c r="M26" s="147"/>
    </row>
    <row r="27" spans="1:26" s="7" customFormat="1" ht="13.8">
      <c r="A27" s="8"/>
      <c r="L27" s="147"/>
      <c r="M27" s="147"/>
    </row>
    <row r="28" spans="1:26" s="7" customFormat="1" ht="13.8">
      <c r="A28" s="8"/>
      <c r="L28" s="147"/>
      <c r="M28" s="147"/>
    </row>
  </sheetData>
  <mergeCells count="57">
    <mergeCell ref="L25:M25"/>
    <mergeCell ref="L26:M26"/>
    <mergeCell ref="L27:M27"/>
    <mergeCell ref="L28:M28"/>
    <mergeCell ref="C23:H23"/>
    <mergeCell ref="I23:N23"/>
    <mergeCell ref="O23:T23"/>
    <mergeCell ref="U23:Z23"/>
    <mergeCell ref="C24:F24"/>
    <mergeCell ref="C21:H21"/>
    <mergeCell ref="I21:N21"/>
    <mergeCell ref="O21:T21"/>
    <mergeCell ref="U21:Z21"/>
    <mergeCell ref="C22:H22"/>
    <mergeCell ref="I22:N22"/>
    <mergeCell ref="O22:T22"/>
    <mergeCell ref="U22:Z22"/>
    <mergeCell ref="O14:T15"/>
    <mergeCell ref="U14:Z15"/>
    <mergeCell ref="U17:Z17"/>
    <mergeCell ref="C18:H18"/>
    <mergeCell ref="I18:N18"/>
    <mergeCell ref="O18:T18"/>
    <mergeCell ref="U18:Z18"/>
    <mergeCell ref="O19:T19"/>
    <mergeCell ref="U19:Z19"/>
    <mergeCell ref="C20:H20"/>
    <mergeCell ref="I20:N20"/>
    <mergeCell ref="O20:T20"/>
    <mergeCell ref="U20:Z20"/>
    <mergeCell ref="O16:T16"/>
    <mergeCell ref="U16:Z16"/>
    <mergeCell ref="C17:H17"/>
    <mergeCell ref="I17:N17"/>
    <mergeCell ref="O17:T17"/>
    <mergeCell ref="A14:A15"/>
    <mergeCell ref="B14:B15"/>
    <mergeCell ref="C14:H15"/>
    <mergeCell ref="I14:N15"/>
    <mergeCell ref="A16:A20"/>
    <mergeCell ref="C16:H16"/>
    <mergeCell ref="I16:N16"/>
    <mergeCell ref="C19:H19"/>
    <mergeCell ref="I19:N19"/>
    <mergeCell ref="A1:V5"/>
    <mergeCell ref="A6:Z6"/>
    <mergeCell ref="A7:B7"/>
    <mergeCell ref="G7:J7"/>
    <mergeCell ref="G8:J8"/>
    <mergeCell ref="A9:B9"/>
    <mergeCell ref="G9:J9"/>
    <mergeCell ref="S11:V12"/>
    <mergeCell ref="D10:F10"/>
    <mergeCell ref="G10:J10"/>
    <mergeCell ref="B11:B13"/>
    <mergeCell ref="G11:J11"/>
    <mergeCell ref="G12:J12"/>
  </mergeCells>
  <pageMargins left="0.45" right="0.2" top="0.5" bottom="0.75" header="0.3" footer="0.3"/>
  <pageSetup scale="7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ใบงาน Agilent_JOB 11</vt:lpstr>
      <vt:lpstr>A2-QC ถุง</vt:lpstr>
      <vt:lpstr>P2-QC กล่อง</vt:lpstr>
      <vt:lpstr>'ใบงาน Agilent_JOB 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paisi</cp:lastModifiedBy>
  <cp:lastPrinted>2026-08-03T02:01:33Z</cp:lastPrinted>
  <dcterms:created xsi:type="dcterms:W3CDTF">2022-12-02T03:16:26Z</dcterms:created>
  <dcterms:modified xsi:type="dcterms:W3CDTF">2026-08-03T09:54:34Z</dcterms:modified>
</cp:coreProperties>
</file>