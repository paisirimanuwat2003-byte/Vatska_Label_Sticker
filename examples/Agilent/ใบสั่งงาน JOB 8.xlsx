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Agilent/A1 ใบสั่งงาน/ใบสั่งงานฉบับแก้ไข/ฟอร์มใบสั่งงาน/"/>
    </mc:Choice>
  </mc:AlternateContent>
  <xr:revisionPtr revIDLastSave="66" documentId="13_ncr:1_{52EEB73F-8997-4035-BA3E-E3BDBE3FFDB0}" xr6:coauthVersionLast="47" xr6:coauthVersionMax="47" xr10:uidLastSave="{A401DDC5-C578-4227-A422-005765495E1D}"/>
  <bookViews>
    <workbookView xWindow="-98" yWindow="-98" windowWidth="21795" windowHeight="12975" tabRatio="958" activeTab="2" xr2:uid="{4F180DBB-2D27-44A5-BB20-72766F3B0AE8}"/>
  </bookViews>
  <sheets>
    <sheet name="ใบงาน Agilent_JOB 8" sheetId="12" r:id="rId1"/>
    <sheet name="A2-QCถุง" sheetId="13" r:id="rId2"/>
    <sheet name="P2-QC กล่อง" sheetId="14" r:id="rId3"/>
  </sheets>
  <definedNames>
    <definedName name="_xlnm.Print_Area" localSheetId="0">'ใบงาน Agilent_JOB 8'!$A$1:$O$37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4" l="1"/>
  <c r="W7" i="14"/>
  <c r="G7" i="13"/>
  <c r="W7" i="13"/>
  <c r="X8" i="14"/>
  <c r="B10" i="13"/>
  <c r="B10" i="14"/>
  <c r="G8" i="14"/>
  <c r="B8" i="14"/>
  <c r="G8" i="13"/>
  <c r="B8" i="13"/>
  <c r="D22" i="12"/>
  <c r="D21" i="12"/>
  <c r="E17" i="12" l="1"/>
  <c r="G17" i="12" s="1"/>
  <c r="H17" i="12" s="1"/>
  <c r="F3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NGERNKONGKAEW, Siriprapha</author>
  </authors>
  <commentList>
    <comment ref="H49" authorId="0" shapeId="0" xr:uid="{273AB42C-9B23-403A-8438-EE2A6A369640}">
      <text>
        <r>
          <rPr>
            <b/>
            <sz val="9"/>
            <color indexed="81"/>
            <rFont val="Tahoma"/>
            <family val="2"/>
          </rPr>
          <t>NGERNKONGKAEW, Siriprapha:</t>
        </r>
        <r>
          <rPr>
            <sz val="9"/>
            <color indexed="81"/>
            <rFont val="Tahoma"/>
            <family val="2"/>
          </rPr>
          <t xml:space="preserve">
Change from 6 to 1</t>
        </r>
      </text>
    </comment>
  </commentList>
</comments>
</file>

<file path=xl/sharedStrings.xml><?xml version="1.0" encoding="utf-8"?>
<sst xmlns="http://schemas.openxmlformats.org/spreadsheetml/2006/main" count="360" uniqueCount="227">
  <si>
    <t>ABW00002</t>
  </si>
  <si>
    <t>+5.00</t>
  </si>
  <si>
    <t>Tolerance</t>
  </si>
  <si>
    <t>P-06411-62</t>
  </si>
  <si>
    <t>K9801-60085</t>
  </si>
  <si>
    <t xml:space="preserve"> </t>
  </si>
  <si>
    <t>วันที่</t>
  </si>
  <si>
    <t>ลูกค้า</t>
  </si>
  <si>
    <t>แผนก</t>
  </si>
  <si>
    <t>สายยาง</t>
  </si>
  <si>
    <t>S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</si>
  <si>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</si>
  <si>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</si>
  <si>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</si>
  <si>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</si>
  <si>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</si>
  <si>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</si>
  <si>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</si>
  <si>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</si>
  <si>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</si>
  <si>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</si>
  <si>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</si>
  <si>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</si>
  <si>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</si>
  <si>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</si>
  <si>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</si>
  <si>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</si>
  <si>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</si>
  <si>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ขนาด 100 เซนติเมตร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</si>
  <si>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</si>
  <si>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</si>
  <si>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</si>
  <si>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</si>
  <si>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</si>
  <si>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</si>
  <si>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</si>
  <si>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>ความยาวสายยางที่สามารถยอมรับได้</t>
  </si>
  <si>
    <t xml:space="preserve">ใบงานตัดสายยางและ บรรจุ  </t>
  </si>
  <si>
    <t>อาจิแลนจ์ (Agilent)</t>
  </si>
  <si>
    <t>ผลิต (Production)</t>
  </si>
  <si>
    <t>กล่องพลาสติคใส่สายยางพร้อมฝาปิดกันฝุ่น</t>
  </si>
  <si>
    <t>ABW00002/K9801-60085</t>
  </si>
  <si>
    <t>1 เส้น</t>
  </si>
  <si>
    <t>1 กล่อง</t>
  </si>
  <si>
    <t>JOB 8</t>
  </si>
  <si>
    <t>Tubing, Bulk Fluid Valve to Aspiration</t>
  </si>
  <si>
    <t>OD/ID: 1/8"(3.1750mm) 1/16"(1.5875mm)</t>
  </si>
  <si>
    <t>762-767</t>
  </si>
  <si>
    <t>จำนวนที่ตรวจสอบความยาวของสายยาง (MM)</t>
  </si>
  <si>
    <t>ถุงพลาสติค S</t>
  </si>
  <si>
    <t>4x6 นิ้ว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</si>
  <si>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</si>
  <si>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</si>
  <si>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</si>
  <si>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</si>
  <si>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</si>
  <si>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ลายเซ็นต์</t>
  </si>
  <si>
    <t>1 อัน</t>
  </si>
  <si>
    <t>ถุงพลาสติค packing</t>
  </si>
  <si>
    <t>จำนวนสายยางที่ตัดได้(เส้น)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</si>
  <si>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</si>
  <si>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</si>
  <si>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</si>
  <si>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</si>
  <si>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ในกรณีใช้สายยางไม่เต็มม้วน จะต้องนำไปใช้งานต่อสำหรับ JOB อื่นๆ</t>
  </si>
  <si>
    <t>การตรวจสอบคุณภาพก่อนบรรจุ  / QC in process</t>
  </si>
  <si>
    <t>AGA</t>
  </si>
  <si>
    <t>MPN:</t>
  </si>
  <si>
    <t>Children PN:</t>
  </si>
  <si>
    <t>K9801-60082</t>
  </si>
  <si>
    <t>Customer PO</t>
  </si>
  <si>
    <t>QR CODE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</si>
  <si>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</si>
  <si>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</si>
  <si>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Lot no</t>
  </si>
  <si>
    <t>MPN</t>
  </si>
  <si>
    <t>Children no.</t>
  </si>
  <si>
    <t>Copy to sticker</t>
  </si>
  <si>
    <t>จำนวนถุงที่ผลิต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</si>
  <si>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</si>
  <si>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</si>
  <si>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</si>
  <si>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</si>
  <si>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</si>
  <si>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</si>
  <si>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</si>
  <si>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</si>
  <si>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</si>
  <si>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</si>
  <si>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</si>
  <si>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</si>
  <si>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</si>
  <si>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</si>
  <si>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</si>
  <si>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</si>
  <si>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</si>
  <si>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</si>
  <si>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</si>
  <si>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</si>
  <si>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</si>
  <si>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</si>
  <si>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</si>
  <si>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</si>
  <si>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</si>
  <si>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</si>
  <si>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</si>
  <si>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</si>
  <si>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</si>
  <si>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</si>
  <si>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</si>
  <si>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</si>
  <si>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</si>
  <si>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</si>
  <si>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</si>
  <si>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</si>
  <si>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</si>
  <si>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</si>
  <si>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</si>
  <si>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</si>
  <si>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</si>
  <si>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</si>
  <si>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</si>
  <si>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</si>
  <si>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</si>
  <si>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</si>
  <si>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K9801-60084</t>
  </si>
  <si>
    <t>job 1.5</t>
  </si>
  <si>
    <t>762 -767</t>
  </si>
  <si>
    <t>2 
K9801-60099</t>
  </si>
  <si>
    <t>job 2.1</t>
  </si>
  <si>
    <t>55.34 -55.84</t>
  </si>
  <si>
    <t>ABW00019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</si>
  <si>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</si>
  <si>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</si>
  <si>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</si>
  <si>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</si>
  <si>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</si>
  <si>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</si>
  <si>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</si>
  <si>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</si>
  <si>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</si>
  <si>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</si>
  <si>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</si>
  <si>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</si>
  <si>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</si>
  <si>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</si>
  <si>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</si>
  <si>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</si>
  <si>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</si>
  <si>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</si>
  <si>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</si>
  <si>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</si>
  <si>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</si>
  <si>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</si>
  <si>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</si>
  <si>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</si>
  <si>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</si>
  <si>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</si>
  <si>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</si>
  <si>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</si>
  <si>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</si>
  <si>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</si>
  <si>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</si>
  <si>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</si>
  <si>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</si>
  <si>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</si>
  <si>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</si>
  <si>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</si>
  <si>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</si>
  <si>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</si>
  <si>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</si>
  <si>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</si>
  <si>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</si>
  <si>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</si>
  <si>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</si>
  <si>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</si>
  <si>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</si>
  <si>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</si>
  <si>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</si>
  <si>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</si>
  <si>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</si>
  <si>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</si>
  <si>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</si>
  <si>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</si>
  <si>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</si>
  <si>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</si>
  <si>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</si>
  <si>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</si>
  <si>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</si>
  <si>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</si>
  <si>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</si>
  <si>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</si>
  <si>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</si>
  <si>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</si>
  <si>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</si>
  <si>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</si>
  <si>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</si>
  <si>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</si>
  <si>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</si>
  <si>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</si>
  <si>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</si>
  <si>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</si>
  <si>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</si>
  <si>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</si>
  <si>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</si>
  <si>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</si>
  <si>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</si>
  <si>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</si>
  <si>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</si>
  <si>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</si>
  <si>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</si>
  <si>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</si>
  <si>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</si>
  <si>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</si>
  <si>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</si>
  <si>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</si>
  <si>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</si>
  <si>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</si>
  <si>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</si>
  <si>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</si>
  <si>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</si>
  <si>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</si>
  <si>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</si>
  <si>
    <t>-</t>
  </si>
  <si>
    <t>CUSTOMER PO</t>
  </si>
  <si>
    <t>PO12345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</si>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</sst>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164" fontId="9" fillId="2" borderId="1" xfId="3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9" fillId="2" borderId="1" xfId="0" quotePrefix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64" fontId="9" fillId="3" borderId="1" xfId="0" applyNumberFormat="1" applyFont="1" applyFill="1" applyBorder="1" applyAlignment="1">
      <alignment vertical="center"/>
    </xf>
    <xf numFmtId="0" fontId="9" fillId="0" borderId="7" xfId="0" applyFont="1" applyBorder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12" fillId="5" borderId="7" xfId="0" applyFont="1" applyFill="1" applyBorder="1"/>
    <xf numFmtId="0" fontId="12" fillId="5" borderId="7" xfId="0" applyFont="1" applyFill="1" applyBorder="1" applyAlignment="1">
      <alignment horizontal="center"/>
    </xf>
    <xf numFmtId="0" fontId="9" fillId="5" borderId="7" xfId="0" applyFont="1" applyFill="1" applyBorder="1"/>
    <xf numFmtId="0" fontId="16" fillId="2" borderId="0" xfId="0" applyFont="1" applyFill="1"/>
    <xf numFmtId="0" fontId="9" fillId="5" borderId="0" xfId="0" applyFont="1" applyFill="1" applyAlignment="1">
      <alignment horizontal="center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0" xfId="0" applyFont="1"/>
    <xf numFmtId="0" fontId="21" fillId="0" borderId="13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/>
    <xf numFmtId="0" fontId="0" fillId="0" borderId="0" xfId="0" applyAlignment="1">
      <alignment horizontal="center"/>
    </xf>
    <xf numFmtId="0" fontId="9" fillId="2" borderId="0" xfId="0" applyFont="1" applyFill="1"/>
    <xf numFmtId="0" fontId="15" fillId="2" borderId="0" xfId="0" applyFont="1" applyFill="1" applyAlignment="1">
      <alignment horizontal="left" vertical="center"/>
    </xf>
    <xf numFmtId="0" fontId="9" fillId="5" borderId="0" xfId="0" applyFont="1" applyFill="1"/>
    <xf numFmtId="165" fontId="9" fillId="5" borderId="0" xfId="3" applyNumberFormat="1" applyFont="1" applyFill="1" applyAlignment="1">
      <alignment horizontal="center" vertical="center"/>
    </xf>
    <xf numFmtId="165" fontId="9" fillId="0" borderId="0" xfId="3" applyNumberFormat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12" xfId="0" applyFont="1" applyBorder="1" applyAlignment="1">
      <alignment horizontal="center" vertical="center" wrapText="1"/>
    </xf>
    <xf numFmtId="0" fontId="16" fillId="0" borderId="0" xfId="0" applyFont="1"/>
    <xf numFmtId="0" fontId="22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22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right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 wrapText="1"/>
    </xf>
    <xf numFmtId="0" fontId="27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4" fillId="0" borderId="12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14" xfId="0" applyFont="1" applyBorder="1" applyAlignment="1">
      <alignment horizontal="center" wrapText="1"/>
    </xf>
    <xf numFmtId="0" fontId="24" fillId="0" borderId="13" xfId="0" applyFont="1" applyBorder="1" applyAlignment="1">
      <alignment horizontal="center" wrapText="1"/>
    </xf>
    <xf numFmtId="0" fontId="24" fillId="0" borderId="1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top"/>
    </xf>
    <xf numFmtId="0" fontId="10" fillId="2" borderId="8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9" fillId="2" borderId="12" xfId="0" quotePrefix="1" applyFont="1" applyFill="1" applyBorder="1" applyAlignment="1">
      <alignment horizontal="center"/>
    </xf>
    <xf numFmtId="0" fontId="9" fillId="2" borderId="14" xfId="0" quotePrefix="1" applyFont="1" applyFill="1" applyBorder="1" applyAlignment="1">
      <alignment horizontal="center"/>
    </xf>
    <xf numFmtId="0" fontId="9" fillId="2" borderId="13" xfId="0" quotePrefix="1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2" borderId="7" xfId="0" applyFont="1" applyFill="1" applyBorder="1"/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065370-74E7-4644-AC3F-557C365D2BFB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9C3854-D082-4353-900F-9D403F19225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81A8A-6544-493C-91FC-77274759C2C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36B1D1-D689-4620-B8E6-3357B80D399A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473BB-01E2-4CA0-AEBB-83A19608A01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33425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CF9F78-5814-4072-8BA8-0982146F9420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94B0-7CEF-49D1-A423-A10030ACA3A4}">
  <dimension ref="A1:O127"/>
  <sheetViews>
    <sheetView zoomScaleNormal="100" workbookViewId="0">
      <selection activeCell="N7" sqref="N7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4.86328125" style="2" hidden="1" customWidth="1"/>
    <col min="6" max="6" width="12.73046875" style="2" customWidth="1"/>
    <col min="7" max="7" width="15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4" width="10.73046875" style="2" customWidth="1"/>
    <col min="15" max="15" width="13.73046875" style="2" customWidth="1"/>
    <col min="16" max="16384" width="8.73046875" style="1"/>
  </cols>
  <sheetData>
    <row r="1" spans="1:15" ht="23.25" customHeight="1">
      <c r="A1" s="127" t="s">
        <v>53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15" ht="11.6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spans="1:15" ht="11.6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5" ht="11.65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</row>
    <row r="5" spans="1:15" ht="11.65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</row>
    <row r="6" spans="1:15" ht="22.5">
      <c r="A6" s="4" t="s">
        <v>37</v>
      </c>
      <c r="N6" s="5"/>
      <c r="O6" s="5" t="s">
        <v>44</v>
      </c>
    </row>
    <row r="7" spans="1:15" s="7" customFormat="1" ht="21" customHeight="1">
      <c r="A7" s="8" t="s">
        <v>6</v>
      </c>
      <c r="B7" s="46"/>
      <c r="C7" s="35"/>
      <c r="D7" s="8" t="s">
        <v>54</v>
      </c>
      <c r="E7" s="8"/>
      <c r="F7" s="47" t="s">
        <v>226</v>
      </c>
      <c r="G7" s="47"/>
      <c r="J7" s="8"/>
      <c r="K7" s="7" t="s">
        <v>55</v>
      </c>
      <c r="L7" s="35" t="s">
        <v>66</v>
      </c>
      <c r="M7" s="48" t="s">
        <v>226</v>
      </c>
      <c r="N7" s="46"/>
      <c r="O7" s="8"/>
    </row>
    <row r="8" spans="1:15" s="7" customFormat="1" ht="21" customHeight="1">
      <c r="A8" s="8" t="s">
        <v>8</v>
      </c>
      <c r="B8" s="7" t="s">
        <v>39</v>
      </c>
      <c r="D8" s="8" t="s">
        <v>67</v>
      </c>
      <c r="E8" s="8"/>
      <c r="F8" s="68" t="s">
        <v>4</v>
      </c>
      <c r="J8" s="8"/>
      <c r="K8" s="7" t="s">
        <v>13</v>
      </c>
      <c r="M8" s="69"/>
      <c r="N8" s="70">
        <v>2000</v>
      </c>
      <c r="O8" s="8"/>
    </row>
    <row r="9" spans="1:15" s="7" customFormat="1" ht="21" customHeight="1">
      <c r="A9" s="8" t="s">
        <v>7</v>
      </c>
      <c r="B9" s="7" t="s">
        <v>38</v>
      </c>
      <c r="D9" s="7" t="s">
        <v>68</v>
      </c>
      <c r="E9" s="8"/>
      <c r="F9" s="49" t="s">
        <v>223</v>
      </c>
      <c r="J9" s="8"/>
      <c r="K9" s="8" t="s">
        <v>70</v>
      </c>
      <c r="M9" s="50"/>
      <c r="N9" s="50" t="s">
        <v>225</v>
      </c>
      <c r="O9" s="8"/>
    </row>
    <row r="10" spans="1:15" s="18" customFormat="1" ht="21" customHeight="1">
      <c r="A10" s="17"/>
      <c r="D10" s="17"/>
      <c r="E10" s="17"/>
      <c r="F10" s="17"/>
      <c r="J10" s="17"/>
      <c r="K10" s="17"/>
      <c r="N10" s="17"/>
      <c r="O10" s="17"/>
    </row>
    <row r="11" spans="1:15" s="18" customFormat="1" ht="21" customHeight="1">
      <c r="A11" s="17"/>
      <c r="B11" s="36" t="s">
        <v>0</v>
      </c>
      <c r="C11" s="37" t="s">
        <v>46</v>
      </c>
      <c r="D11" s="38"/>
      <c r="E11" s="17"/>
      <c r="F11" s="17"/>
      <c r="J11" s="17"/>
      <c r="K11" s="8"/>
    </row>
    <row r="12" spans="1:15" s="7" customFormat="1" ht="21" customHeight="1">
      <c r="A12" s="8"/>
      <c r="B12" s="7" t="s">
        <v>71</v>
      </c>
      <c r="C12" t="s">
        <v>5</v>
      </c>
      <c r="D12" s="8"/>
      <c r="E12" s="8"/>
      <c r="F12" s="8"/>
      <c r="J12" s="8"/>
      <c r="K12" s="8"/>
      <c r="L12" s="17"/>
      <c r="M12" s="17"/>
      <c r="N12" s="17"/>
      <c r="O12" s="17"/>
    </row>
    <row r="13" spans="1:15" s="18" customFormat="1" ht="21" customHeight="1">
      <c r="A13" s="19" t="s">
        <v>31</v>
      </c>
      <c r="D13" s="17"/>
      <c r="E13" s="17"/>
      <c r="F13" s="17"/>
      <c r="J13" s="17"/>
      <c r="K13" s="8"/>
      <c r="L13" s="7"/>
      <c r="N13" s="17"/>
      <c r="O13" s="17"/>
    </row>
    <row r="14" spans="1:15" s="18" customFormat="1" ht="21" customHeight="1">
      <c r="A14" s="17"/>
      <c r="D14" s="17"/>
      <c r="E14" s="17"/>
      <c r="F14" s="17"/>
      <c r="J14" s="17"/>
      <c r="K14" s="8"/>
      <c r="L14" s="7"/>
      <c r="N14" s="17"/>
      <c r="O14" s="17"/>
    </row>
    <row r="15" spans="1:15" s="74" customFormat="1" ht="21" customHeight="1">
      <c r="A15" s="108" t="s">
        <v>17</v>
      </c>
      <c r="B15" s="110" t="s">
        <v>16</v>
      </c>
      <c r="C15" s="108" t="s">
        <v>15</v>
      </c>
      <c r="D15" s="108" t="s">
        <v>14</v>
      </c>
      <c r="E15" s="112" t="s">
        <v>34</v>
      </c>
      <c r="F15" s="114" t="s">
        <v>35</v>
      </c>
      <c r="G15" s="131" t="s">
        <v>34</v>
      </c>
      <c r="H15" s="147" t="s">
        <v>33</v>
      </c>
      <c r="J15" s="75"/>
      <c r="K15" s="149"/>
    </row>
    <row r="16" spans="1:15" s="74" customFormat="1" ht="21" customHeight="1">
      <c r="A16" s="108"/>
      <c r="B16" s="111"/>
      <c r="C16" s="108"/>
      <c r="D16" s="108"/>
      <c r="E16" s="113"/>
      <c r="F16" s="115"/>
      <c r="G16" s="146"/>
      <c r="H16" s="148"/>
      <c r="J16" s="75"/>
      <c r="K16" s="149"/>
    </row>
    <row r="17" spans="1:15" s="18" customFormat="1" ht="21" customHeight="1">
      <c r="A17" s="22">
        <v>1</v>
      </c>
      <c r="B17" s="39" t="s">
        <v>9</v>
      </c>
      <c r="C17" s="40" t="s">
        <v>0</v>
      </c>
      <c r="D17" s="41">
        <v>1</v>
      </c>
      <c r="E17" s="24">
        <f>D17*N8*(I44+J44)</f>
        <v>1534000</v>
      </c>
      <c r="F17" s="11">
        <v>50</v>
      </c>
      <c r="G17" s="34">
        <f>E17</f>
        <v>1534000</v>
      </c>
      <c r="H17" s="34">
        <f>G17*0.00328/F17</f>
        <v>100.63039999999999</v>
      </c>
      <c r="K17" s="81" t="s">
        <v>77</v>
      </c>
      <c r="L17" s="78"/>
      <c r="M17" s="78"/>
      <c r="N17" s="78"/>
    </row>
    <row r="18" spans="1:15" s="18" customFormat="1" ht="21" customHeight="1">
      <c r="A18" s="13">
        <v>2</v>
      </c>
      <c r="B18" s="25" t="s">
        <v>32</v>
      </c>
      <c r="C18" s="25"/>
      <c r="D18" s="13"/>
      <c r="E18" s="13"/>
      <c r="F18" s="13"/>
      <c r="G18" s="25"/>
      <c r="H18" s="25"/>
      <c r="J18" s="17"/>
      <c r="K18" s="81"/>
      <c r="L18" s="78"/>
      <c r="M18" s="78"/>
      <c r="N18" s="78"/>
      <c r="O18" s="17"/>
    </row>
    <row r="19" spans="1:15" s="18" customFormat="1" ht="21" customHeight="1">
      <c r="A19" s="13">
        <v>3</v>
      </c>
      <c r="B19" s="25" t="s">
        <v>40</v>
      </c>
      <c r="C19" s="25"/>
      <c r="D19" s="13" t="s">
        <v>43</v>
      </c>
      <c r="E19" s="13"/>
      <c r="F19" s="13"/>
      <c r="G19" s="25"/>
      <c r="H19" s="25"/>
      <c r="J19" s="17"/>
      <c r="K19" s="6"/>
      <c r="L19" s="67"/>
      <c r="M19" s="32"/>
      <c r="N19" s="12"/>
      <c r="O19" s="17"/>
    </row>
    <row r="20" spans="1:15" s="18" customFormat="1" ht="21" customHeight="1">
      <c r="A20" s="13">
        <v>4</v>
      </c>
      <c r="B20" s="25" t="s">
        <v>51</v>
      </c>
      <c r="C20" s="25"/>
      <c r="D20" s="13" t="s">
        <v>52</v>
      </c>
      <c r="E20" s="13"/>
      <c r="F20" s="13"/>
      <c r="G20" s="25"/>
      <c r="H20" s="25"/>
      <c r="J20" s="17"/>
      <c r="K20" s="6"/>
      <c r="L20" s="7"/>
      <c r="N20" s="17"/>
      <c r="O20" s="17"/>
    </row>
    <row r="21" spans="1:15" s="18" customFormat="1" ht="21" customHeight="1">
      <c r="A21" s="13">
        <v>5</v>
      </c>
      <c r="B21" s="40" t="s">
        <v>49</v>
      </c>
      <c r="C21" s="41" t="s">
        <v>50</v>
      </c>
      <c r="D21" s="13">
        <f>N8</f>
        <v>2000</v>
      </c>
      <c r="E21" s="13"/>
      <c r="F21" s="13"/>
      <c r="G21" s="25"/>
      <c r="H21" s="25"/>
      <c r="J21" s="17"/>
      <c r="K21" s="6"/>
      <c r="L21" s="7"/>
      <c r="N21" s="17"/>
      <c r="O21" s="17"/>
    </row>
    <row r="22" spans="1:15" s="18" customFormat="1" ht="21" customHeight="1">
      <c r="A22" s="13">
        <v>6</v>
      </c>
      <c r="B22" s="25" t="s">
        <v>11</v>
      </c>
      <c r="C22" s="13" t="s">
        <v>12</v>
      </c>
      <c r="D22" s="13">
        <f>N8</f>
        <v>2000</v>
      </c>
      <c r="E22" s="13"/>
      <c r="F22" s="13"/>
      <c r="G22" s="25"/>
      <c r="H22" s="25"/>
      <c r="J22" s="17"/>
      <c r="K22" s="6"/>
      <c r="L22" s="7"/>
      <c r="N22" s="17"/>
      <c r="O22" s="17"/>
    </row>
    <row r="23" spans="1:15" s="18" customFormat="1" ht="21" customHeight="1">
      <c r="A23" s="13">
        <v>7</v>
      </c>
      <c r="B23" s="25" t="s">
        <v>27</v>
      </c>
      <c r="C23" s="13" t="s">
        <v>28</v>
      </c>
      <c r="D23" s="13" t="s">
        <v>57</v>
      </c>
      <c r="E23" s="13"/>
      <c r="F23" s="13"/>
      <c r="G23" s="25"/>
      <c r="H23" s="25"/>
      <c r="J23" s="17"/>
      <c r="K23" s="6"/>
      <c r="L23" s="7"/>
      <c r="N23" s="17"/>
      <c r="O23" s="17"/>
    </row>
    <row r="24" spans="1:15" s="18" customFormat="1" ht="21" customHeight="1">
      <c r="A24" s="13">
        <v>8</v>
      </c>
      <c r="B24" s="25" t="s">
        <v>58</v>
      </c>
      <c r="C24" s="25"/>
      <c r="D24" s="13"/>
      <c r="E24" s="13"/>
      <c r="F24" s="13"/>
      <c r="G24" s="25"/>
      <c r="H24" s="25"/>
      <c r="J24" s="17"/>
      <c r="K24" s="6"/>
      <c r="L24" s="42"/>
      <c r="M24" s="43"/>
    </row>
    <row r="25" spans="1:15" s="18" customFormat="1" ht="21" customHeight="1">
      <c r="A25" s="17"/>
      <c r="D25" s="17"/>
      <c r="E25" s="17"/>
      <c r="F25" s="17"/>
      <c r="J25" s="17"/>
      <c r="K25" s="17"/>
      <c r="N25" s="17"/>
      <c r="O25" s="17"/>
    </row>
    <row r="26" spans="1:15" s="18" customFormat="1" ht="21" customHeight="1">
      <c r="A26" s="3" t="s">
        <v>65</v>
      </c>
      <c r="D26" s="17"/>
      <c r="E26" s="17"/>
      <c r="F26" s="17"/>
      <c r="I26" s="36" t="s">
        <v>64</v>
      </c>
      <c r="J26" s="38"/>
      <c r="K26" s="36"/>
      <c r="L26" s="36"/>
      <c r="M26" s="38"/>
      <c r="N26" s="36"/>
    </row>
    <row r="27" spans="1:15" s="18" customFormat="1" ht="21" customHeight="1">
      <c r="A27" s="17"/>
      <c r="D27" s="17"/>
      <c r="E27" s="17"/>
      <c r="F27" s="17"/>
      <c r="J27" s="17"/>
      <c r="K27" s="17"/>
      <c r="N27" s="17"/>
      <c r="O27" s="17"/>
    </row>
    <row r="28" spans="1:15" s="74" customFormat="1" ht="21" customHeight="1">
      <c r="A28" s="108" t="s">
        <v>17</v>
      </c>
      <c r="B28" s="108" t="s">
        <v>16</v>
      </c>
      <c r="C28" s="108" t="s">
        <v>15</v>
      </c>
      <c r="D28" s="108" t="s">
        <v>14</v>
      </c>
      <c r="E28" s="72"/>
      <c r="F28" s="109" t="s">
        <v>59</v>
      </c>
      <c r="G28" s="131" t="s">
        <v>60</v>
      </c>
      <c r="H28" s="131"/>
      <c r="I28" s="131"/>
      <c r="J28" s="142"/>
      <c r="K28" s="131" t="s">
        <v>48</v>
      </c>
      <c r="L28" s="131"/>
      <c r="M28" s="131"/>
      <c r="N28" s="131" t="s">
        <v>56</v>
      </c>
      <c r="O28" s="77"/>
    </row>
    <row r="29" spans="1:15" s="74" customFormat="1" ht="21" customHeight="1">
      <c r="A29" s="108"/>
      <c r="B29" s="108"/>
      <c r="C29" s="108"/>
      <c r="D29" s="108"/>
      <c r="E29" s="72"/>
      <c r="F29" s="109"/>
      <c r="G29" s="73" t="s">
        <v>61</v>
      </c>
      <c r="H29" s="73" t="s">
        <v>62</v>
      </c>
      <c r="I29" s="73" t="s">
        <v>63</v>
      </c>
      <c r="J29" s="76" t="s">
        <v>56</v>
      </c>
      <c r="K29" s="72" t="s">
        <v>26</v>
      </c>
      <c r="L29" s="73" t="s">
        <v>23</v>
      </c>
      <c r="M29" s="73" t="s">
        <v>24</v>
      </c>
      <c r="N29" s="131"/>
      <c r="O29" s="77"/>
    </row>
    <row r="30" spans="1:15" s="18" customFormat="1" ht="21" customHeight="1">
      <c r="A30" s="143">
        <v>8.1</v>
      </c>
      <c r="B30" s="128" t="s">
        <v>45</v>
      </c>
      <c r="C30" s="133" t="s">
        <v>41</v>
      </c>
      <c r="D30" s="136">
        <v>1</v>
      </c>
      <c r="E30" s="11"/>
      <c r="F30" s="139">
        <f>N8*D30</f>
        <v>2000</v>
      </c>
      <c r="G30" s="44"/>
      <c r="H30" s="44"/>
      <c r="I30" s="44"/>
      <c r="J30" s="45"/>
      <c r="K30" s="132" t="s">
        <v>47</v>
      </c>
      <c r="L30" s="11"/>
      <c r="M30" s="25"/>
      <c r="N30" s="25"/>
      <c r="O30" s="7"/>
    </row>
    <row r="31" spans="1:15" s="18" customFormat="1" ht="21" customHeight="1">
      <c r="A31" s="144"/>
      <c r="B31" s="129"/>
      <c r="C31" s="134"/>
      <c r="D31" s="137"/>
      <c r="E31" s="25"/>
      <c r="F31" s="140"/>
      <c r="G31" s="44"/>
      <c r="H31" s="44"/>
      <c r="I31" s="44"/>
      <c r="J31" s="45"/>
      <c r="K31" s="132"/>
      <c r="L31" s="13"/>
      <c r="M31" s="25"/>
      <c r="N31" s="25"/>
      <c r="O31" s="7"/>
    </row>
    <row r="32" spans="1:15" s="18" customFormat="1" ht="21" customHeight="1">
      <c r="A32" s="144"/>
      <c r="B32" s="129"/>
      <c r="C32" s="134"/>
      <c r="D32" s="137"/>
      <c r="E32" s="25"/>
      <c r="F32" s="140"/>
      <c r="G32" s="44"/>
      <c r="H32" s="44"/>
      <c r="I32" s="44"/>
      <c r="J32" s="45"/>
      <c r="K32" s="132"/>
      <c r="L32" s="25"/>
      <c r="M32" s="25"/>
      <c r="N32" s="25"/>
      <c r="O32" s="7"/>
    </row>
    <row r="33" spans="1:15" s="18" customFormat="1" ht="21" customHeight="1">
      <c r="A33" s="144"/>
      <c r="B33" s="129"/>
      <c r="C33" s="134"/>
      <c r="D33" s="137"/>
      <c r="E33" s="25"/>
      <c r="F33" s="140"/>
      <c r="G33" s="44"/>
      <c r="H33" s="44"/>
      <c r="I33" s="44"/>
      <c r="J33" s="45"/>
      <c r="K33" s="132"/>
      <c r="L33" s="25"/>
      <c r="M33" s="25"/>
      <c r="N33" s="25"/>
      <c r="O33" s="7"/>
    </row>
    <row r="34" spans="1:15" s="18" customFormat="1" ht="21" customHeight="1">
      <c r="A34" s="144"/>
      <c r="B34" s="129"/>
      <c r="C34" s="134"/>
      <c r="D34" s="137"/>
      <c r="E34" s="25"/>
      <c r="F34" s="140"/>
      <c r="G34" s="44"/>
      <c r="H34" s="44"/>
      <c r="I34" s="44"/>
      <c r="J34" s="45"/>
      <c r="K34" s="132"/>
      <c r="L34" s="25"/>
      <c r="M34" s="25"/>
      <c r="N34" s="25"/>
      <c r="O34" s="7"/>
    </row>
    <row r="35" spans="1:15" s="18" customFormat="1" ht="21" customHeight="1">
      <c r="A35" s="144"/>
      <c r="B35" s="129"/>
      <c r="C35" s="134"/>
      <c r="D35" s="137"/>
      <c r="E35" s="25"/>
      <c r="F35" s="140"/>
      <c r="G35" s="44"/>
      <c r="H35" s="44"/>
      <c r="I35" s="44"/>
      <c r="J35" s="45"/>
      <c r="K35" s="132"/>
      <c r="L35" s="25"/>
      <c r="M35" s="25"/>
      <c r="N35" s="25"/>
      <c r="O35" s="7"/>
    </row>
    <row r="36" spans="1:15" s="18" customFormat="1" ht="21" customHeight="1">
      <c r="A36" s="144"/>
      <c r="B36" s="129"/>
      <c r="C36" s="134"/>
      <c r="D36" s="137"/>
      <c r="E36" s="13"/>
      <c r="F36" s="140"/>
      <c r="G36" s="44"/>
      <c r="H36" s="44"/>
      <c r="I36" s="44"/>
      <c r="J36" s="45"/>
      <c r="K36" s="132"/>
      <c r="L36" s="25"/>
      <c r="M36" s="25"/>
      <c r="N36" s="25"/>
      <c r="O36" s="7"/>
    </row>
    <row r="37" spans="1:15" s="18" customFormat="1" ht="21" customHeight="1">
      <c r="A37" s="145"/>
      <c r="B37" s="130"/>
      <c r="C37" s="135"/>
      <c r="D37" s="138"/>
      <c r="E37" s="13"/>
      <c r="F37" s="141"/>
      <c r="G37" s="44"/>
      <c r="H37" s="44"/>
      <c r="I37" s="44"/>
      <c r="J37" s="45"/>
      <c r="K37" s="132"/>
      <c r="L37" s="25"/>
      <c r="M37" s="25"/>
      <c r="N37" s="25"/>
      <c r="O37" s="7"/>
    </row>
    <row r="38" spans="1:15" s="18" customFormat="1" ht="21" customHeight="1">
      <c r="A38" s="17"/>
      <c r="C38" s="17"/>
      <c r="D38" s="17"/>
      <c r="E38" s="17"/>
      <c r="F38" s="27"/>
      <c r="I38" s="17"/>
      <c r="J38" s="17"/>
      <c r="M38" s="17"/>
      <c r="N38" s="17"/>
    </row>
    <row r="39" spans="1:15" s="18" customFormat="1" ht="21" hidden="1" customHeight="1">
      <c r="A39" s="19" t="s">
        <v>29</v>
      </c>
      <c r="D39" s="17"/>
      <c r="E39" s="17"/>
      <c r="F39" s="17"/>
      <c r="J39" s="17"/>
      <c r="K39" s="17"/>
      <c r="N39" s="17"/>
      <c r="O39" s="17"/>
    </row>
    <row r="40" spans="1:15" s="18" customFormat="1" ht="21" hidden="1" customHeight="1">
      <c r="A40" s="17"/>
      <c r="D40" s="17"/>
      <c r="E40" s="17"/>
      <c r="F40" s="17"/>
      <c r="J40" s="17"/>
      <c r="K40" s="17"/>
      <c r="N40" s="17"/>
      <c r="O40" s="17"/>
    </row>
    <row r="41" spans="1:15" s="21" customFormat="1" ht="21" hidden="1" customHeight="1">
      <c r="A41" s="89" t="s">
        <v>17</v>
      </c>
      <c r="B41" s="89" t="s">
        <v>18</v>
      </c>
      <c r="C41" s="89" t="s">
        <v>19</v>
      </c>
      <c r="D41" s="119" t="s">
        <v>19</v>
      </c>
      <c r="E41" s="28"/>
      <c r="F41" s="89" t="s">
        <v>20</v>
      </c>
      <c r="G41" s="89" t="s">
        <v>15</v>
      </c>
      <c r="H41" s="122" t="s">
        <v>30</v>
      </c>
      <c r="I41" s="122" t="s">
        <v>25</v>
      </c>
      <c r="J41" s="122" t="s">
        <v>2</v>
      </c>
      <c r="K41" s="122" t="s">
        <v>36</v>
      </c>
      <c r="L41" s="119" t="s">
        <v>21</v>
      </c>
      <c r="M41" s="125"/>
      <c r="N41" s="116" t="s">
        <v>22</v>
      </c>
      <c r="O41" s="116"/>
    </row>
    <row r="42" spans="1:15" s="21" customFormat="1" ht="21" hidden="1" customHeight="1">
      <c r="A42" s="117"/>
      <c r="B42" s="117"/>
      <c r="C42" s="117"/>
      <c r="D42" s="120"/>
      <c r="F42" s="117"/>
      <c r="G42" s="117"/>
      <c r="H42" s="123"/>
      <c r="I42" s="123"/>
      <c r="J42" s="123"/>
      <c r="K42" s="123"/>
      <c r="L42" s="121"/>
      <c r="M42" s="126"/>
      <c r="N42" s="116"/>
      <c r="O42" s="116"/>
    </row>
    <row r="43" spans="1:15" s="21" customFormat="1" ht="21" hidden="1" customHeight="1">
      <c r="A43" s="118"/>
      <c r="B43" s="118"/>
      <c r="C43" s="118"/>
      <c r="D43" s="121"/>
      <c r="E43" s="29"/>
      <c r="F43" s="118"/>
      <c r="G43" s="118"/>
      <c r="H43" s="124"/>
      <c r="I43" s="124"/>
      <c r="J43" s="124"/>
      <c r="K43" s="124"/>
      <c r="L43" s="30" t="s">
        <v>23</v>
      </c>
      <c r="M43" s="14" t="s">
        <v>24</v>
      </c>
      <c r="N43" s="9" t="s">
        <v>23</v>
      </c>
      <c r="O43" s="20" t="s">
        <v>24</v>
      </c>
    </row>
    <row r="44" spans="1:15" s="32" customFormat="1" ht="21" hidden="1" customHeight="1">
      <c r="A44" s="10">
        <v>1</v>
      </c>
      <c r="B44" s="15" t="s">
        <v>4</v>
      </c>
      <c r="C44" s="15" t="s">
        <v>45</v>
      </c>
      <c r="D44" s="23" t="s">
        <v>4</v>
      </c>
      <c r="E44" s="23" t="s">
        <v>3</v>
      </c>
      <c r="F44" s="11" t="s">
        <v>10</v>
      </c>
      <c r="G44" s="26" t="s">
        <v>0</v>
      </c>
      <c r="H44" s="11" t="s">
        <v>42</v>
      </c>
      <c r="I44" s="23">
        <v>762</v>
      </c>
      <c r="J44" s="31" t="s">
        <v>1</v>
      </c>
      <c r="K44" s="11" t="s">
        <v>47</v>
      </c>
      <c r="L44" s="23"/>
      <c r="M44" s="23"/>
      <c r="N44" s="23"/>
      <c r="O44" s="23"/>
    </row>
    <row r="45" spans="1:15" s="18" customFormat="1" ht="21" hidden="1" customHeight="1">
      <c r="A45" s="19"/>
      <c r="D45" s="17"/>
      <c r="E45" s="17"/>
      <c r="F45" s="17"/>
      <c r="J45" s="17"/>
      <c r="N45" s="17"/>
      <c r="O45" s="17"/>
    </row>
    <row r="46" spans="1:15" s="18" customFormat="1" ht="21" customHeight="1">
      <c r="A46" s="19"/>
      <c r="D46" s="17"/>
      <c r="E46" s="17"/>
      <c r="F46" s="17"/>
      <c r="J46" s="17"/>
      <c r="N46" s="17"/>
      <c r="O46" s="17"/>
    </row>
    <row r="47" spans="1:15" s="18" customFormat="1" ht="21" customHeight="1">
      <c r="A47" s="19"/>
      <c r="D47" s="17"/>
      <c r="E47" s="17"/>
      <c r="F47" s="17"/>
      <c r="J47" s="17"/>
      <c r="N47" s="17"/>
      <c r="O47" s="17"/>
    </row>
    <row r="48" spans="1:15" s="18" customFormat="1" ht="21" customHeight="1">
      <c r="A48" s="17"/>
      <c r="D48" s="17"/>
      <c r="E48" s="17"/>
      <c r="F48" s="17"/>
      <c r="I48" s="18" t="s">
        <v>5</v>
      </c>
      <c r="J48" s="17"/>
      <c r="K48" s="17"/>
      <c r="N48" s="17"/>
      <c r="O48" s="17"/>
    </row>
    <row r="49" spans="1:15" s="32" customFormat="1" ht="21" customHeight="1">
      <c r="A49" s="12"/>
      <c r="B49" s="16"/>
      <c r="D49" s="12"/>
      <c r="E49" s="12"/>
      <c r="F49" s="12"/>
      <c r="H49" s="33"/>
      <c r="J49" s="12"/>
      <c r="K49" s="12"/>
      <c r="N49" s="12"/>
      <c r="O49" s="12"/>
    </row>
    <row r="50" spans="1:15" s="18" customFormat="1" ht="21" customHeight="1">
      <c r="A50" s="17"/>
      <c r="D50" s="17"/>
      <c r="E50" s="17"/>
      <c r="F50" s="17"/>
      <c r="J50" s="17"/>
      <c r="K50" s="17"/>
      <c r="N50" s="17"/>
      <c r="O50" s="17"/>
    </row>
    <row r="51" spans="1:15" s="18" customFormat="1" ht="21" customHeight="1">
      <c r="A51" s="17"/>
      <c r="D51" s="17"/>
      <c r="E51" s="17"/>
      <c r="F51" s="17"/>
      <c r="J51" s="17"/>
      <c r="K51" s="17"/>
      <c r="N51" s="17"/>
      <c r="O51" s="17"/>
    </row>
    <row r="52" spans="1:15" s="18" customFormat="1" ht="21" customHeight="1">
      <c r="A52" s="17"/>
      <c r="D52" s="17"/>
      <c r="E52" s="17"/>
      <c r="F52" s="17"/>
      <c r="J52" s="17"/>
      <c r="K52" s="17"/>
      <c r="N52" s="17"/>
      <c r="O52" s="17"/>
    </row>
    <row r="53" spans="1:15" s="18" customFormat="1" ht="21" customHeight="1">
      <c r="A53" s="17"/>
      <c r="D53" s="17"/>
      <c r="E53" s="17"/>
      <c r="F53" s="17"/>
      <c r="J53" s="17"/>
      <c r="K53" s="17"/>
      <c r="N53" s="17"/>
      <c r="O53" s="17"/>
    </row>
    <row r="54" spans="1:15" s="18" customFormat="1" ht="21" customHeight="1">
      <c r="A54" s="17"/>
      <c r="D54" s="17"/>
      <c r="E54" s="17"/>
      <c r="F54" s="17"/>
      <c r="J54" s="17"/>
      <c r="K54" s="17"/>
      <c r="N54" s="17"/>
      <c r="O54" s="17"/>
    </row>
    <row r="55" spans="1:15" s="18" customFormat="1" ht="21" customHeight="1">
      <c r="A55" s="17"/>
      <c r="D55" s="17"/>
      <c r="E55" s="17"/>
      <c r="F55" s="17"/>
      <c r="J55" s="17"/>
      <c r="K55" s="17"/>
      <c r="N55" s="17"/>
      <c r="O55" s="17"/>
    </row>
    <row r="56" spans="1:15" s="18" customFormat="1" ht="21" customHeight="1">
      <c r="A56" s="17"/>
      <c r="D56" s="17"/>
      <c r="E56" s="17"/>
      <c r="F56" s="17"/>
      <c r="J56" s="17"/>
      <c r="K56" s="17"/>
      <c r="N56" s="17"/>
      <c r="O56" s="17"/>
    </row>
    <row r="57" spans="1:15" s="18" customFormat="1" ht="21" customHeight="1">
      <c r="A57" s="17"/>
      <c r="D57" s="17"/>
      <c r="E57" s="17"/>
      <c r="F57" s="17"/>
      <c r="J57" s="17"/>
      <c r="K57" s="17"/>
      <c r="N57" s="17"/>
      <c r="O57" s="17"/>
    </row>
    <row r="58" spans="1:15" s="18" customFormat="1" ht="21" customHeight="1">
      <c r="A58" s="17"/>
      <c r="D58" s="17"/>
      <c r="E58" s="17"/>
      <c r="F58" s="17"/>
      <c r="J58" s="17"/>
      <c r="K58" s="17"/>
      <c r="N58" s="17"/>
      <c r="O58" s="17"/>
    </row>
    <row r="59" spans="1:15" s="18" customFormat="1" ht="21" customHeight="1">
      <c r="A59" s="17"/>
      <c r="D59" s="17"/>
      <c r="E59" s="17"/>
      <c r="F59" s="17"/>
      <c r="J59" s="17"/>
      <c r="K59" s="17"/>
      <c r="N59" s="17"/>
      <c r="O59" s="17"/>
    </row>
    <row r="60" spans="1:15" s="18" customFormat="1" ht="21" customHeight="1">
      <c r="A60" s="17"/>
      <c r="D60" s="17"/>
      <c r="E60" s="17"/>
      <c r="F60" s="17"/>
      <c r="J60" s="17"/>
      <c r="K60" s="17"/>
      <c r="N60" s="17"/>
      <c r="O60" s="17"/>
    </row>
    <row r="61" spans="1:15" s="18" customFormat="1" ht="21" customHeight="1">
      <c r="A61" s="17"/>
      <c r="D61" s="17"/>
      <c r="E61" s="17"/>
      <c r="F61" s="17"/>
      <c r="J61" s="17"/>
      <c r="K61" s="17"/>
      <c r="N61" s="17"/>
      <c r="O61" s="17"/>
    </row>
    <row r="62" spans="1:15" s="18" customFormat="1" ht="21" customHeight="1">
      <c r="A62" s="17"/>
      <c r="D62" s="17"/>
      <c r="E62" s="17"/>
      <c r="F62" s="17"/>
      <c r="J62" s="17"/>
      <c r="K62" s="17"/>
      <c r="N62" s="17"/>
      <c r="O62" s="17"/>
    </row>
    <row r="63" spans="1:15" s="18" customFormat="1" ht="21" customHeight="1">
      <c r="A63" s="17"/>
      <c r="D63" s="17"/>
      <c r="E63" s="17"/>
      <c r="F63" s="17"/>
      <c r="J63" s="17"/>
      <c r="K63" s="17"/>
      <c r="N63" s="17"/>
      <c r="O63" s="17"/>
    </row>
    <row r="64" spans="1:15" s="18" customFormat="1" ht="21" customHeight="1">
      <c r="A64" s="17"/>
      <c r="D64" s="17"/>
      <c r="E64" s="17"/>
      <c r="F64" s="17"/>
      <c r="J64" s="17"/>
      <c r="K64" s="17"/>
      <c r="N64" s="17"/>
      <c r="O64" s="17"/>
    </row>
    <row r="65" spans="1:15" s="18" customFormat="1" ht="21" customHeight="1">
      <c r="A65" s="17"/>
      <c r="D65" s="17"/>
      <c r="E65" s="17"/>
      <c r="F65" s="17"/>
      <c r="J65" s="17"/>
      <c r="K65" s="17"/>
      <c r="N65" s="17"/>
      <c r="O65" s="17"/>
    </row>
    <row r="66" spans="1:15" s="18" customFormat="1" ht="21" customHeight="1">
      <c r="A66" s="17"/>
      <c r="D66" s="17"/>
      <c r="E66" s="17"/>
      <c r="F66" s="17"/>
      <c r="J66" s="17"/>
      <c r="K66" s="17"/>
      <c r="N66" s="17"/>
      <c r="O66" s="17"/>
    </row>
    <row r="67" spans="1:15" s="18" customFormat="1" ht="21" customHeight="1">
      <c r="A67" s="17"/>
      <c r="D67" s="17"/>
      <c r="E67" s="17"/>
      <c r="F67" s="17"/>
      <c r="J67" s="17"/>
      <c r="K67" s="17"/>
      <c r="N67" s="17"/>
      <c r="O67" s="17"/>
    </row>
    <row r="68" spans="1:15" s="18" customFormat="1" ht="21" customHeight="1">
      <c r="A68" s="17"/>
      <c r="D68" s="17"/>
      <c r="E68" s="17"/>
      <c r="F68" s="17"/>
      <c r="J68" s="17"/>
      <c r="K68" s="17"/>
      <c r="N68" s="17"/>
      <c r="O68" s="17"/>
    </row>
    <row r="69" spans="1:15" s="18" customFormat="1" ht="21" customHeight="1">
      <c r="A69" s="17"/>
      <c r="D69" s="17"/>
      <c r="E69" s="17"/>
      <c r="F69" s="17"/>
      <c r="J69" s="17"/>
      <c r="K69" s="17"/>
      <c r="N69" s="17"/>
      <c r="O69" s="17"/>
    </row>
    <row r="70" spans="1:15" s="18" customFormat="1" ht="21" customHeight="1">
      <c r="A70" s="17"/>
      <c r="D70" s="17"/>
      <c r="E70" s="17"/>
      <c r="F70" s="17"/>
      <c r="J70" s="17"/>
      <c r="K70" s="17"/>
      <c r="N70" s="17"/>
      <c r="O70" s="17"/>
    </row>
    <row r="71" spans="1:15" s="18" customFormat="1" ht="21" customHeight="1">
      <c r="A71" s="17"/>
      <c r="D71" s="17"/>
      <c r="E71" s="17"/>
      <c r="F71" s="17"/>
      <c r="J71" s="17"/>
      <c r="K71" s="17"/>
      <c r="N71" s="17"/>
      <c r="O71" s="17"/>
    </row>
    <row r="72" spans="1:15" s="18" customFormat="1" ht="21" customHeight="1">
      <c r="A72" s="17"/>
      <c r="D72" s="17"/>
      <c r="E72" s="17"/>
      <c r="F72" s="17"/>
      <c r="J72" s="17"/>
      <c r="K72" s="17"/>
      <c r="N72" s="17"/>
      <c r="O72" s="17"/>
    </row>
    <row r="73" spans="1:15" s="18" customFormat="1" ht="21" customHeight="1">
      <c r="A73" s="17"/>
      <c r="D73" s="17"/>
      <c r="E73" s="17"/>
      <c r="F73" s="17"/>
      <c r="J73" s="17"/>
      <c r="K73" s="17"/>
      <c r="N73" s="17"/>
      <c r="O73" s="17"/>
    </row>
    <row r="74" spans="1:15" s="18" customFormat="1" ht="21" customHeight="1">
      <c r="A74" s="17"/>
      <c r="D74" s="17"/>
      <c r="E74" s="17"/>
      <c r="F74" s="17"/>
      <c r="J74" s="17"/>
      <c r="K74" s="17"/>
      <c r="N74" s="17"/>
      <c r="O74" s="17"/>
    </row>
    <row r="75" spans="1:15" s="18" customFormat="1" ht="21" customHeight="1">
      <c r="A75" s="17"/>
      <c r="D75" s="17"/>
      <c r="E75" s="17"/>
      <c r="F75" s="17"/>
      <c r="J75" s="17"/>
      <c r="K75" s="17"/>
      <c r="N75" s="17"/>
      <c r="O75" s="17"/>
    </row>
    <row r="76" spans="1:15" s="18" customFormat="1" ht="21" customHeight="1">
      <c r="A76" s="17"/>
      <c r="D76" s="17"/>
      <c r="E76" s="17"/>
      <c r="F76" s="17"/>
      <c r="J76" s="17"/>
      <c r="K76" s="17"/>
      <c r="N76" s="17"/>
      <c r="O76" s="17"/>
    </row>
    <row r="77" spans="1:15" s="18" customFormat="1" ht="21" customHeight="1">
      <c r="A77" s="17"/>
      <c r="D77" s="17"/>
      <c r="E77" s="17"/>
      <c r="F77" s="17"/>
      <c r="J77" s="17"/>
      <c r="K77" s="17"/>
      <c r="N77" s="17"/>
      <c r="O77" s="17"/>
    </row>
    <row r="78" spans="1:15" s="18" customFormat="1" ht="21" customHeight="1">
      <c r="A78" s="17"/>
      <c r="D78" s="17"/>
      <c r="E78" s="17"/>
      <c r="F78" s="17"/>
      <c r="J78" s="17"/>
      <c r="K78" s="17"/>
      <c r="N78" s="17"/>
      <c r="O78" s="17"/>
    </row>
    <row r="79" spans="1:15" s="18" customFormat="1" ht="21" customHeight="1">
      <c r="A79" s="17"/>
      <c r="D79" s="17"/>
      <c r="E79" s="17"/>
      <c r="F79" s="17"/>
      <c r="J79" s="17"/>
      <c r="K79" s="17"/>
      <c r="N79" s="17"/>
      <c r="O79" s="17"/>
    </row>
    <row r="80" spans="1:15" s="18" customFormat="1" ht="21" customHeight="1">
      <c r="A80" s="17"/>
      <c r="D80" s="17"/>
      <c r="E80" s="17"/>
      <c r="F80" s="17"/>
      <c r="J80" s="17"/>
      <c r="K80" s="17"/>
      <c r="N80" s="17"/>
      <c r="O80" s="17"/>
    </row>
    <row r="81" spans="1:15" s="18" customFormat="1" ht="21" customHeight="1">
      <c r="A81" s="17"/>
      <c r="D81" s="17"/>
      <c r="E81" s="17"/>
      <c r="F81" s="17"/>
      <c r="J81" s="17"/>
      <c r="K81" s="17"/>
      <c r="N81" s="17"/>
      <c r="O81" s="17"/>
    </row>
    <row r="82" spans="1:15" s="18" customFormat="1" ht="21" customHeight="1">
      <c r="A82" s="17"/>
      <c r="D82" s="17"/>
      <c r="E82" s="17"/>
      <c r="F82" s="17"/>
      <c r="J82" s="17"/>
      <c r="K82" s="17"/>
      <c r="N82" s="17"/>
      <c r="O82" s="17"/>
    </row>
    <row r="83" spans="1:15" s="18" customFormat="1" ht="21" customHeight="1">
      <c r="A83" s="17"/>
      <c r="D83" s="17"/>
      <c r="E83" s="17"/>
      <c r="F83" s="17"/>
      <c r="J83" s="17"/>
      <c r="K83" s="17"/>
      <c r="N83" s="17"/>
      <c r="O83" s="17"/>
    </row>
    <row r="84" spans="1:15" s="18" customFormat="1" ht="21" customHeight="1">
      <c r="A84" s="17"/>
      <c r="D84" s="17"/>
      <c r="E84" s="17"/>
      <c r="F84" s="17"/>
      <c r="J84" s="17"/>
      <c r="K84" s="17"/>
      <c r="N84" s="17"/>
      <c r="O84" s="17"/>
    </row>
    <row r="85" spans="1:15" s="18" customFormat="1" ht="21" customHeight="1">
      <c r="A85" s="17"/>
      <c r="D85" s="17"/>
      <c r="E85" s="17"/>
      <c r="F85" s="17"/>
      <c r="J85" s="17"/>
      <c r="K85" s="17"/>
      <c r="N85" s="17"/>
      <c r="O85" s="17"/>
    </row>
    <row r="86" spans="1:15" s="18" customFormat="1" ht="21" customHeight="1">
      <c r="A86" s="17"/>
      <c r="D86" s="17"/>
      <c r="E86" s="17"/>
      <c r="F86" s="17"/>
      <c r="J86" s="17"/>
      <c r="K86" s="17"/>
      <c r="N86" s="17"/>
      <c r="O86" s="17"/>
    </row>
    <row r="87" spans="1:15" s="18" customFormat="1" ht="21" customHeight="1">
      <c r="A87" s="17"/>
      <c r="D87" s="17"/>
      <c r="E87" s="17"/>
      <c r="F87" s="17"/>
      <c r="J87" s="17"/>
      <c r="K87" s="17"/>
      <c r="N87" s="17"/>
      <c r="O87" s="17"/>
    </row>
    <row r="88" spans="1:15" s="18" customFormat="1" ht="21" customHeight="1">
      <c r="A88" s="17"/>
      <c r="D88" s="17"/>
      <c r="E88" s="17"/>
      <c r="F88" s="17"/>
      <c r="J88" s="17"/>
      <c r="K88" s="17"/>
      <c r="N88" s="17"/>
      <c r="O88" s="17"/>
    </row>
    <row r="89" spans="1:15" s="18" customFormat="1" ht="21" customHeight="1">
      <c r="A89" s="17"/>
      <c r="D89" s="17"/>
      <c r="E89" s="17"/>
      <c r="F89" s="17"/>
      <c r="J89" s="17"/>
      <c r="K89" s="17"/>
      <c r="N89" s="17"/>
      <c r="O89" s="17"/>
    </row>
    <row r="90" spans="1:15" s="18" customFormat="1" ht="21" customHeight="1">
      <c r="A90" s="17"/>
      <c r="D90" s="17"/>
      <c r="E90" s="17"/>
      <c r="F90" s="17"/>
      <c r="J90" s="17"/>
      <c r="K90" s="17"/>
      <c r="N90" s="17"/>
      <c r="O90" s="17"/>
    </row>
    <row r="91" spans="1:15" s="18" customFormat="1" ht="21" customHeight="1">
      <c r="A91" s="17"/>
      <c r="D91" s="17"/>
      <c r="E91" s="17"/>
      <c r="F91" s="17"/>
      <c r="J91" s="17"/>
      <c r="K91" s="17"/>
      <c r="N91" s="17"/>
      <c r="O91" s="17"/>
    </row>
    <row r="92" spans="1:15" s="18" customFormat="1" ht="21" customHeight="1">
      <c r="A92" s="17"/>
      <c r="D92" s="17"/>
      <c r="E92" s="17"/>
      <c r="F92" s="17"/>
      <c r="J92" s="17"/>
      <c r="K92" s="17"/>
      <c r="N92" s="17"/>
      <c r="O92" s="17"/>
    </row>
    <row r="93" spans="1:15" s="18" customFormat="1" ht="21" customHeight="1">
      <c r="A93" s="17"/>
      <c r="D93" s="17"/>
      <c r="E93" s="17"/>
      <c r="F93" s="17"/>
      <c r="J93" s="17"/>
      <c r="K93" s="17"/>
      <c r="N93" s="17"/>
      <c r="O93" s="17"/>
    </row>
    <row r="94" spans="1:15" s="18" customFormat="1" ht="21" customHeight="1">
      <c r="A94" s="17"/>
      <c r="D94" s="17"/>
      <c r="E94" s="17"/>
      <c r="F94" s="17"/>
      <c r="J94" s="17"/>
      <c r="K94" s="17"/>
      <c r="N94" s="17"/>
      <c r="O94" s="17"/>
    </row>
    <row r="95" spans="1:15" s="18" customFormat="1" ht="21" customHeight="1">
      <c r="A95" s="17"/>
      <c r="D95" s="17"/>
      <c r="E95" s="17"/>
      <c r="F95" s="17"/>
      <c r="J95" s="17"/>
      <c r="K95" s="17"/>
      <c r="N95" s="17"/>
      <c r="O95" s="17"/>
    </row>
    <row r="96" spans="1:15" s="18" customFormat="1" ht="21" customHeight="1">
      <c r="A96" s="17"/>
      <c r="D96" s="17"/>
      <c r="E96" s="17"/>
      <c r="F96" s="17"/>
      <c r="J96" s="17"/>
      <c r="K96" s="17"/>
      <c r="N96" s="17"/>
      <c r="O96" s="17"/>
    </row>
    <row r="97" spans="1:15" s="18" customFormat="1" ht="21" customHeight="1">
      <c r="A97" s="17"/>
      <c r="D97" s="17"/>
      <c r="E97" s="17"/>
      <c r="F97" s="17"/>
      <c r="J97" s="17"/>
      <c r="K97" s="17"/>
      <c r="N97" s="17"/>
      <c r="O97" s="17"/>
    </row>
    <row r="98" spans="1:15" s="18" customFormat="1" ht="21" customHeight="1">
      <c r="A98" s="17"/>
      <c r="D98" s="17"/>
      <c r="E98" s="17"/>
      <c r="F98" s="17"/>
      <c r="J98" s="17"/>
      <c r="K98" s="17"/>
      <c r="N98" s="17"/>
      <c r="O98" s="17"/>
    </row>
    <row r="99" spans="1:15" s="18" customFormat="1" ht="21" customHeight="1">
      <c r="A99" s="17"/>
      <c r="D99" s="17"/>
      <c r="E99" s="17"/>
      <c r="F99" s="17"/>
      <c r="J99" s="17"/>
      <c r="K99" s="17"/>
      <c r="N99" s="17"/>
      <c r="O99" s="17"/>
    </row>
    <row r="100" spans="1:15" s="18" customFormat="1" ht="21" customHeight="1">
      <c r="A100" s="17"/>
      <c r="D100" s="17"/>
      <c r="E100" s="17"/>
      <c r="F100" s="17"/>
      <c r="J100" s="17"/>
      <c r="K100" s="17"/>
      <c r="N100" s="17"/>
      <c r="O100" s="17"/>
    </row>
    <row r="101" spans="1:15" s="18" customFormat="1" ht="21" customHeight="1">
      <c r="A101" s="17"/>
      <c r="D101" s="17"/>
      <c r="E101" s="17"/>
      <c r="F101" s="17"/>
      <c r="J101" s="17"/>
      <c r="K101" s="17"/>
      <c r="N101" s="17"/>
      <c r="O101" s="17"/>
    </row>
    <row r="102" spans="1:15" s="18" customFormat="1" ht="21" customHeight="1">
      <c r="A102" s="17"/>
      <c r="D102" s="17"/>
      <c r="E102" s="17"/>
      <c r="F102" s="17"/>
      <c r="J102" s="17"/>
      <c r="K102" s="17"/>
      <c r="N102" s="17"/>
      <c r="O102" s="17"/>
    </row>
    <row r="103" spans="1:15" s="18" customFormat="1" ht="21" customHeight="1">
      <c r="A103" s="17"/>
      <c r="D103" s="17"/>
      <c r="E103" s="17"/>
      <c r="F103" s="17"/>
      <c r="J103" s="17"/>
      <c r="K103" s="17"/>
      <c r="N103" s="17"/>
      <c r="O103" s="17"/>
    </row>
    <row r="104" spans="1:15" s="18" customFormat="1" ht="21" customHeight="1">
      <c r="A104" s="17"/>
      <c r="D104" s="17"/>
      <c r="E104" s="17"/>
      <c r="F104" s="17"/>
      <c r="J104" s="17"/>
      <c r="K104" s="17"/>
      <c r="N104" s="17"/>
      <c r="O104" s="17"/>
    </row>
    <row r="105" spans="1:15" s="18" customFormat="1" ht="21" customHeight="1">
      <c r="A105" s="17"/>
      <c r="D105" s="17"/>
      <c r="E105" s="17"/>
      <c r="F105" s="17"/>
      <c r="J105" s="17"/>
      <c r="K105" s="17"/>
      <c r="N105" s="17"/>
      <c r="O105" s="17"/>
    </row>
    <row r="106" spans="1:15" s="18" customFormat="1" ht="21" customHeight="1">
      <c r="A106" s="17"/>
      <c r="D106" s="17"/>
      <c r="E106" s="17"/>
      <c r="F106" s="17"/>
      <c r="J106" s="17"/>
      <c r="K106" s="17"/>
      <c r="N106" s="17"/>
      <c r="O106" s="17"/>
    </row>
    <row r="107" spans="1:15" s="18" customFormat="1" ht="21" customHeight="1">
      <c r="A107" s="17"/>
      <c r="D107" s="17"/>
      <c r="E107" s="17"/>
      <c r="F107" s="17"/>
      <c r="J107" s="17"/>
      <c r="K107" s="17"/>
      <c r="N107" s="17"/>
      <c r="O107" s="17"/>
    </row>
    <row r="108" spans="1:15" s="18" customFormat="1" ht="21" customHeight="1">
      <c r="A108" s="17"/>
      <c r="D108" s="17"/>
      <c r="E108" s="17"/>
      <c r="F108" s="17"/>
      <c r="J108" s="17"/>
      <c r="K108" s="17"/>
      <c r="N108" s="17"/>
      <c r="O108" s="17"/>
    </row>
    <row r="109" spans="1:15" s="18" customFormat="1" ht="21" customHeight="1">
      <c r="A109" s="17"/>
      <c r="D109" s="17"/>
      <c r="E109" s="17"/>
      <c r="F109" s="17"/>
      <c r="J109" s="17"/>
      <c r="K109" s="17"/>
      <c r="N109" s="17"/>
      <c r="O109" s="17"/>
    </row>
    <row r="110" spans="1:15" s="18" customFormat="1" ht="21" customHeight="1">
      <c r="A110" s="17"/>
      <c r="D110" s="17"/>
      <c r="E110" s="17"/>
      <c r="F110" s="17"/>
      <c r="J110" s="17"/>
      <c r="K110" s="17"/>
      <c r="N110" s="17"/>
      <c r="O110" s="17"/>
    </row>
    <row r="111" spans="1:15" s="18" customFormat="1" ht="21" customHeight="1">
      <c r="A111" s="17"/>
      <c r="D111" s="17"/>
      <c r="E111" s="17"/>
      <c r="F111" s="17"/>
      <c r="J111" s="17"/>
      <c r="K111" s="17"/>
      <c r="N111" s="17"/>
      <c r="O111" s="17"/>
    </row>
    <row r="112" spans="1:15" s="18" customFormat="1" ht="21" customHeight="1">
      <c r="A112" s="17"/>
      <c r="D112" s="17"/>
      <c r="E112" s="17"/>
      <c r="F112" s="17"/>
      <c r="J112" s="17"/>
      <c r="K112" s="17"/>
      <c r="N112" s="17"/>
      <c r="O112" s="17"/>
    </row>
    <row r="113" spans="1:15" s="18" customFormat="1" ht="21" customHeight="1">
      <c r="A113" s="17"/>
      <c r="D113" s="17"/>
      <c r="E113" s="17"/>
      <c r="F113" s="17"/>
      <c r="J113" s="17"/>
      <c r="K113" s="17"/>
      <c r="N113" s="17"/>
      <c r="O113" s="17"/>
    </row>
    <row r="114" spans="1:15" s="18" customFormat="1" ht="21" customHeight="1">
      <c r="A114" s="17"/>
      <c r="D114" s="17"/>
      <c r="E114" s="17"/>
      <c r="F114" s="17"/>
      <c r="J114" s="17"/>
      <c r="K114" s="17"/>
      <c r="N114" s="17"/>
      <c r="O114" s="17"/>
    </row>
    <row r="115" spans="1:15" s="18" customFormat="1" ht="21" customHeight="1">
      <c r="A115" s="17"/>
      <c r="D115" s="17"/>
      <c r="E115" s="17"/>
      <c r="F115" s="17"/>
      <c r="J115" s="17"/>
      <c r="K115" s="17"/>
      <c r="N115" s="17"/>
      <c r="O115" s="17"/>
    </row>
    <row r="116" spans="1:15" s="18" customFormat="1" ht="21" customHeight="1">
      <c r="A116" s="17"/>
      <c r="D116" s="17"/>
      <c r="E116" s="17"/>
      <c r="F116" s="17"/>
      <c r="J116" s="17"/>
      <c r="K116" s="17"/>
      <c r="N116" s="17"/>
      <c r="O116" s="17"/>
    </row>
    <row r="117" spans="1:15" s="18" customFormat="1" ht="21" customHeight="1">
      <c r="A117" s="17"/>
      <c r="D117" s="17"/>
      <c r="E117" s="17"/>
      <c r="F117" s="17"/>
      <c r="J117" s="17"/>
      <c r="K117" s="17"/>
      <c r="N117" s="17"/>
      <c r="O117" s="17"/>
    </row>
    <row r="118" spans="1:15" s="18" customFormat="1" ht="21" customHeight="1">
      <c r="A118" s="17"/>
      <c r="D118" s="17"/>
      <c r="E118" s="17"/>
      <c r="F118" s="17"/>
      <c r="J118" s="17"/>
      <c r="K118" s="17"/>
      <c r="N118" s="17"/>
      <c r="O118" s="17"/>
    </row>
    <row r="119" spans="1:15" s="18" customFormat="1" ht="21" customHeight="1">
      <c r="A119" s="17"/>
      <c r="D119" s="17"/>
      <c r="E119" s="17"/>
      <c r="F119" s="17"/>
      <c r="J119" s="17"/>
      <c r="K119" s="17"/>
      <c r="N119" s="17"/>
      <c r="O119" s="17"/>
    </row>
    <row r="120" spans="1:15" s="18" customFormat="1" ht="21" customHeight="1">
      <c r="A120" s="17"/>
      <c r="D120" s="17"/>
      <c r="E120" s="17"/>
      <c r="F120" s="17"/>
      <c r="J120" s="17"/>
      <c r="K120" s="17"/>
      <c r="N120" s="17"/>
      <c r="O120" s="17"/>
    </row>
    <row r="121" spans="1:15" s="18" customFormat="1" ht="21" customHeight="1">
      <c r="A121" s="17"/>
      <c r="D121" s="17"/>
      <c r="E121" s="17"/>
      <c r="F121" s="17"/>
      <c r="J121" s="17"/>
      <c r="K121" s="17"/>
      <c r="N121" s="17"/>
      <c r="O121" s="17"/>
    </row>
    <row r="122" spans="1:15" s="18" customFormat="1" ht="21" customHeight="1">
      <c r="A122" s="17"/>
      <c r="D122" s="17"/>
      <c r="E122" s="17"/>
      <c r="F122" s="17"/>
      <c r="J122" s="17"/>
      <c r="K122" s="17"/>
      <c r="N122" s="17"/>
      <c r="O122" s="17"/>
    </row>
    <row r="123" spans="1:15" s="18" customFormat="1" ht="21" customHeight="1">
      <c r="A123" s="17"/>
      <c r="D123" s="17"/>
      <c r="E123" s="17"/>
      <c r="F123" s="17"/>
      <c r="J123" s="17"/>
      <c r="K123" s="17"/>
      <c r="N123" s="17"/>
      <c r="O123" s="17"/>
    </row>
    <row r="124" spans="1:15" s="18" customFormat="1" ht="21" customHeight="1">
      <c r="A124" s="17"/>
      <c r="D124" s="17"/>
      <c r="E124" s="17"/>
      <c r="F124" s="17"/>
      <c r="J124" s="17"/>
      <c r="K124" s="17"/>
      <c r="N124" s="17"/>
      <c r="O124" s="17"/>
    </row>
    <row r="125" spans="1:15" s="18" customFormat="1" ht="21" customHeight="1">
      <c r="A125" s="17"/>
      <c r="D125" s="17"/>
      <c r="E125" s="17"/>
      <c r="F125" s="17"/>
      <c r="J125" s="17"/>
      <c r="K125" s="17"/>
      <c r="N125" s="17"/>
      <c r="O125" s="17"/>
    </row>
    <row r="126" spans="1:15" s="18" customFormat="1" ht="21" customHeight="1">
      <c r="A126" s="17"/>
      <c r="D126" s="17"/>
      <c r="E126" s="17"/>
      <c r="F126" s="17"/>
      <c r="J126" s="17"/>
      <c r="K126" s="17"/>
      <c r="N126" s="17"/>
      <c r="O126" s="17"/>
    </row>
    <row r="127" spans="1:15" s="18" customFormat="1" ht="21" customHeight="1">
      <c r="A127" s="17"/>
      <c r="D127" s="17"/>
      <c r="E127" s="17"/>
      <c r="F127" s="17"/>
      <c r="J127" s="17"/>
      <c r="K127" s="17"/>
      <c r="N127" s="17"/>
      <c r="O127" s="17"/>
    </row>
  </sheetData>
  <mergeCells count="37">
    <mergeCell ref="A1:N5"/>
    <mergeCell ref="K17:K18"/>
    <mergeCell ref="B30:B37"/>
    <mergeCell ref="N28:N29"/>
    <mergeCell ref="K30:K37"/>
    <mergeCell ref="C30:C37"/>
    <mergeCell ref="D30:D37"/>
    <mergeCell ref="F30:F37"/>
    <mergeCell ref="G28:J28"/>
    <mergeCell ref="K28:M28"/>
    <mergeCell ref="A30:A37"/>
    <mergeCell ref="G15:G16"/>
    <mergeCell ref="H15:H16"/>
    <mergeCell ref="K15:K16"/>
    <mergeCell ref="A28:A29"/>
    <mergeCell ref="B28:B29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C28:C29"/>
    <mergeCell ref="D28:D29"/>
    <mergeCell ref="F28:F29"/>
    <mergeCell ref="A15:A16"/>
    <mergeCell ref="B15:B16"/>
    <mergeCell ref="C15:C16"/>
    <mergeCell ref="D15:D16"/>
    <mergeCell ref="E15:E16"/>
    <mergeCell ref="F15:F16"/>
  </mergeCells>
  <pageMargins left="0.118110236220472" right="0" top="0.118110236220472" bottom="0" header="0.31496062992126" footer="0.31496062992126"/>
  <pageSetup scale="7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3233-B1E3-46EA-BA67-ED8CA65D47A0}">
  <dimension ref="A1:Z83"/>
  <sheetViews>
    <sheetView workbookViewId="0">
      <selection activeCell="G8" sqref="G8:J8"/>
    </sheetView>
  </sheetViews>
  <sheetFormatPr defaultRowHeight="14.25"/>
  <cols>
    <col min="1" max="1" width="15.6640625" style="66" customWidth="1"/>
    <col min="2" max="2" width="54" customWidth="1"/>
    <col min="3" max="20" width="3.19921875" customWidth="1"/>
    <col min="21" max="26" width="5.46484375" customWidth="1"/>
    <col min="28" max="28" width="15.3984375" customWidth="1"/>
  </cols>
  <sheetData>
    <row r="1" spans="1:26" ht="15" customHeight="1">
      <c r="A1" s="84" t="s">
        <v>72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51"/>
      <c r="X1" s="51"/>
      <c r="Y1" s="51"/>
      <c r="Z1" s="51"/>
    </row>
    <row r="2" spans="1:26" ht="15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51"/>
      <c r="X2" s="51"/>
      <c r="Y2" s="51"/>
      <c r="Z2" s="51"/>
    </row>
    <row r="3" spans="1:26" ht="15" customHeigh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51"/>
      <c r="X3" s="51"/>
      <c r="Y3" s="51"/>
      <c r="Z3" s="51"/>
    </row>
    <row r="4" spans="1:26" ht="1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51"/>
      <c r="X4" s="51"/>
      <c r="Y4" s="51"/>
      <c r="Z4" s="51"/>
    </row>
    <row r="5" spans="1:26" ht="15" customHeight="1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51"/>
      <c r="X5" s="51"/>
      <c r="Y5" s="51"/>
      <c r="Z5" s="51"/>
    </row>
    <row r="6" spans="1:26" ht="29.65">
      <c r="A6" s="85" t="s">
        <v>73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s="7" customFormat="1" ht="26.25" customHeight="1">
      <c r="A7" s="86" t="s">
        <v>73</v>
      </c>
      <c r="B7" s="86"/>
      <c r="C7" s="43" t="s">
        <v>74</v>
      </c>
      <c r="E7" s="17"/>
      <c r="F7" s="17"/>
      <c r="G7" s="82" t="str">
        <f>'ใบงาน Agilent_JOB 8'!F7</f>
        <v>xxx</v>
      </c>
      <c r="H7" s="82"/>
      <c r="I7" s="82"/>
      <c r="J7" s="82"/>
      <c r="K7" s="82"/>
      <c r="L7" s="17"/>
      <c r="M7" s="17"/>
      <c r="N7" s="17"/>
      <c r="O7" s="17"/>
      <c r="P7" s="17"/>
      <c r="Q7" s="17"/>
      <c r="R7" s="17"/>
      <c r="S7" s="52" t="s">
        <v>55</v>
      </c>
      <c r="W7" s="194" t="str">
        <f>'ใบงาน Agilent_JOB 8'!M7</f>
        <v>xxx</v>
      </c>
      <c r="X7" s="194"/>
      <c r="Y7" s="194"/>
      <c r="Z7" s="194"/>
    </row>
    <row r="8" spans="1:26" s="7" customFormat="1" ht="13.5">
      <c r="A8" s="8" t="s">
        <v>75</v>
      </c>
      <c r="B8" s="53" t="str">
        <f>'ใบงาน Agilent_JOB 8'!F8</f>
        <v>K9801-60085</v>
      </c>
      <c r="C8" s="42" t="s">
        <v>76</v>
      </c>
      <c r="D8" s="42"/>
      <c r="E8" s="42"/>
      <c r="F8" s="42"/>
      <c r="G8" s="80" t="str">
        <f>'ใบงาน Agilent_JOB 8'!F9</f>
        <v>-</v>
      </c>
      <c r="H8" s="80"/>
      <c r="I8" s="80"/>
      <c r="J8" s="80"/>
      <c r="K8" s="42"/>
      <c r="L8" s="42"/>
      <c r="M8" s="42"/>
      <c r="N8" s="42"/>
      <c r="O8" s="42"/>
      <c r="P8" s="42"/>
      <c r="Q8" s="42"/>
      <c r="R8" s="42"/>
      <c r="S8" s="42"/>
      <c r="T8" s="42"/>
    </row>
    <row r="9" spans="1:26" s="7" customFormat="1" ht="13.5" customHeight="1">
      <c r="A9" s="86" t="s">
        <v>5</v>
      </c>
      <c r="B9" s="86"/>
      <c r="G9" s="80" t="s">
        <v>5</v>
      </c>
      <c r="H9" s="80"/>
      <c r="I9" s="80"/>
      <c r="J9" s="80"/>
      <c r="L9" s="17"/>
      <c r="M9" s="17"/>
      <c r="N9" s="17"/>
      <c r="O9" s="17"/>
      <c r="P9" s="17"/>
      <c r="Q9" s="17"/>
      <c r="R9" s="17"/>
      <c r="S9" s="81" t="s">
        <v>77</v>
      </c>
      <c r="T9" s="81"/>
      <c r="U9" s="81"/>
      <c r="V9" s="81"/>
    </row>
    <row r="10" spans="1:26" s="7" customFormat="1" ht="13.5" customHeight="1">
      <c r="A10" s="8" t="s">
        <v>78</v>
      </c>
      <c r="B10" s="71">
        <f>'ใบงาน Agilent_JOB 8'!N8</f>
        <v>2000</v>
      </c>
      <c r="C10" s="17"/>
      <c r="D10" s="82" t="s">
        <v>5</v>
      </c>
      <c r="E10" s="82"/>
      <c r="F10" s="82"/>
      <c r="G10" s="83" t="s">
        <v>5</v>
      </c>
      <c r="H10" s="83"/>
      <c r="I10" s="83"/>
      <c r="J10" s="83"/>
      <c r="K10" s="43"/>
      <c r="L10" s="17"/>
      <c r="M10" s="17"/>
      <c r="N10" s="17"/>
      <c r="O10" s="17"/>
      <c r="P10" s="17"/>
      <c r="Q10" s="17"/>
      <c r="R10" s="17"/>
      <c r="S10" s="81"/>
      <c r="T10" s="81"/>
      <c r="U10" s="81"/>
      <c r="V10" s="81"/>
    </row>
    <row r="11" spans="1:26" s="7" customFormat="1" ht="13.5">
      <c r="A11" s="17"/>
      <c r="B11" s="18"/>
      <c r="C11" s="17"/>
      <c r="D11" s="17"/>
      <c r="E11" s="17"/>
      <c r="F11" s="17"/>
      <c r="G11" s="83" t="s">
        <v>5</v>
      </c>
      <c r="H11" s="83"/>
      <c r="I11" s="83"/>
      <c r="J11" s="83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6" s="7" customFormat="1" ht="13.5">
      <c r="A12" s="17" t="s">
        <v>71</v>
      </c>
      <c r="B12" s="18"/>
      <c r="C12" s="17"/>
      <c r="D12" s="17"/>
      <c r="E12" s="17"/>
      <c r="F12" s="17"/>
      <c r="G12" s="83" t="s">
        <v>5</v>
      </c>
      <c r="H12" s="83"/>
      <c r="I12" s="83"/>
      <c r="J12" s="83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6" s="7" customFormat="1" ht="13.5">
      <c r="A13" s="17"/>
      <c r="B13" s="18"/>
      <c r="C13" s="17"/>
      <c r="D13" s="17"/>
      <c r="E13" s="17"/>
      <c r="F13" s="17"/>
      <c r="G13" s="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6" s="7" customFormat="1" ht="13.5">
      <c r="A14" s="88" t="s">
        <v>17</v>
      </c>
      <c r="B14" s="88" t="s">
        <v>79</v>
      </c>
      <c r="C14" s="90" t="s">
        <v>80</v>
      </c>
      <c r="D14" s="91"/>
      <c r="E14" s="91"/>
      <c r="F14" s="91"/>
      <c r="G14" s="91"/>
      <c r="H14" s="92"/>
      <c r="I14" s="90" t="s">
        <v>23</v>
      </c>
      <c r="J14" s="91"/>
      <c r="K14" s="91"/>
      <c r="L14" s="91"/>
      <c r="M14" s="91"/>
      <c r="N14" s="92"/>
      <c r="O14" s="90" t="s">
        <v>24</v>
      </c>
      <c r="P14" s="100"/>
      <c r="Q14" s="100"/>
      <c r="R14" s="100"/>
      <c r="S14" s="100"/>
      <c r="T14" s="101"/>
      <c r="U14" s="105" t="s">
        <v>81</v>
      </c>
      <c r="V14" s="105"/>
      <c r="W14" s="105"/>
      <c r="X14" s="105"/>
      <c r="Y14" s="105"/>
      <c r="Z14" s="105"/>
    </row>
    <row r="15" spans="1:26" s="7" customFormat="1" ht="13.5">
      <c r="A15" s="89"/>
      <c r="B15" s="88"/>
      <c r="C15" s="93"/>
      <c r="D15" s="94"/>
      <c r="E15" s="94"/>
      <c r="F15" s="94"/>
      <c r="G15" s="94"/>
      <c r="H15" s="95"/>
      <c r="I15" s="93"/>
      <c r="J15" s="94"/>
      <c r="K15" s="94"/>
      <c r="L15" s="94"/>
      <c r="M15" s="94"/>
      <c r="N15" s="95"/>
      <c r="O15" s="102"/>
      <c r="P15" s="103"/>
      <c r="Q15" s="103"/>
      <c r="R15" s="103"/>
      <c r="S15" s="103"/>
      <c r="T15" s="104"/>
      <c r="U15" s="105"/>
      <c r="V15" s="105"/>
      <c r="W15" s="105"/>
      <c r="X15" s="105"/>
      <c r="Y15" s="105"/>
      <c r="Z15" s="105"/>
    </row>
    <row r="16" spans="1:26" s="57" customFormat="1" ht="35.65" customHeight="1">
      <c r="A16" s="55">
        <v>1</v>
      </c>
      <c r="B16" s="56" t="s">
        <v>82</v>
      </c>
      <c r="C16" s="99"/>
      <c r="D16" s="99"/>
      <c r="E16" s="99"/>
      <c r="F16" s="99"/>
      <c r="G16" s="99"/>
      <c r="H16" s="99"/>
      <c r="I16" s="99" t="s">
        <v>5</v>
      </c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s="57" customFormat="1" ht="22.5" customHeight="1">
      <c r="A17" s="96">
        <v>2</v>
      </c>
      <c r="B17" s="58" t="s">
        <v>83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s="57" customFormat="1" ht="22.5" customHeight="1">
      <c r="A18" s="97"/>
      <c r="B18" s="58" t="s">
        <v>84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s="57" customFormat="1" ht="22.5" customHeight="1">
      <c r="A19" s="97"/>
      <c r="B19" s="58" t="s">
        <v>85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s="57" customFormat="1" ht="22.5" customHeight="1">
      <c r="A20" s="97"/>
      <c r="B20" s="58" t="s">
        <v>86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s="57" customFormat="1" ht="22.5" customHeight="1">
      <c r="A21" s="98"/>
      <c r="B21" s="58" t="s">
        <v>87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s="57" customFormat="1" ht="22.5" customHeight="1">
      <c r="A22" s="55">
        <v>3</v>
      </c>
      <c r="B22" s="56" t="s">
        <v>88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s="57" customFormat="1" ht="22.5" customHeight="1">
      <c r="A23" s="55">
        <v>4</v>
      </c>
      <c r="B23" s="56" t="s">
        <v>89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s="57" customFormat="1" ht="22.5" customHeight="1">
      <c r="A24" s="55">
        <v>5</v>
      </c>
      <c r="B24" s="56" t="s">
        <v>90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s="57" customFormat="1" ht="20.65" customHeight="1">
      <c r="A25" s="55">
        <v>6</v>
      </c>
      <c r="B25" s="56" t="s">
        <v>91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s="7" customFormat="1" ht="13.5">
      <c r="A26" s="8"/>
      <c r="C26" s="106"/>
      <c r="D26" s="106"/>
      <c r="E26" s="106"/>
      <c r="F26" s="106"/>
    </row>
    <row r="27" spans="1:26" s="7" customFormat="1" ht="15">
      <c r="A27" s="150" t="s">
        <v>92</v>
      </c>
      <c r="B27" s="150"/>
      <c r="C27" s="150"/>
      <c r="D27" s="150"/>
      <c r="E27" s="150"/>
      <c r="F27" s="150"/>
      <c r="G27" s="150"/>
      <c r="H27" s="150"/>
      <c r="I27" s="150"/>
      <c r="J27" s="150"/>
    </row>
    <row r="28" spans="1:26" s="59" customFormat="1" ht="15">
      <c r="A28" s="151" t="s">
        <v>93</v>
      </c>
      <c r="B28" s="152"/>
      <c r="C28" s="154" t="s">
        <v>94</v>
      </c>
      <c r="D28" s="154"/>
      <c r="E28" s="154"/>
      <c r="F28" s="154"/>
      <c r="G28" s="155" t="s">
        <v>95</v>
      </c>
      <c r="H28" s="156"/>
      <c r="I28" s="156"/>
      <c r="J28" s="157"/>
      <c r="L28" s="107" t="s">
        <v>5</v>
      </c>
      <c r="M28" s="107"/>
    </row>
    <row r="29" spans="1:26" s="59" customFormat="1" ht="15">
      <c r="A29" s="151" t="s">
        <v>96</v>
      </c>
      <c r="B29" s="152"/>
      <c r="C29" s="153">
        <v>10</v>
      </c>
      <c r="D29" s="153"/>
      <c r="E29" s="153"/>
      <c r="F29" s="153"/>
      <c r="G29" s="153">
        <v>10</v>
      </c>
      <c r="H29" s="153"/>
      <c r="I29" s="153"/>
      <c r="J29" s="153"/>
      <c r="L29" s="107"/>
      <c r="M29" s="107"/>
    </row>
    <row r="30" spans="1:26" s="59" customFormat="1" ht="15">
      <c r="A30" s="151" t="s">
        <v>97</v>
      </c>
      <c r="B30" s="152"/>
      <c r="C30" s="153">
        <v>20</v>
      </c>
      <c r="D30" s="153"/>
      <c r="E30" s="153"/>
      <c r="F30" s="153"/>
      <c r="G30" s="153">
        <v>20</v>
      </c>
      <c r="H30" s="153"/>
      <c r="I30" s="153"/>
      <c r="J30" s="153"/>
      <c r="L30" s="107"/>
      <c r="M30" s="107"/>
    </row>
    <row r="31" spans="1:26" s="59" customFormat="1" ht="15">
      <c r="A31" s="151" t="s">
        <v>98</v>
      </c>
      <c r="B31" s="152"/>
      <c r="C31" s="153">
        <v>30</v>
      </c>
      <c r="D31" s="153"/>
      <c r="E31" s="153"/>
      <c r="F31" s="153"/>
      <c r="G31" s="153">
        <v>30</v>
      </c>
      <c r="H31" s="153"/>
      <c r="I31" s="153"/>
      <c r="J31" s="153"/>
      <c r="L31" s="107"/>
      <c r="M31" s="107"/>
    </row>
    <row r="32" spans="1:26" s="59" customFormat="1" ht="15">
      <c r="A32" s="151" t="s">
        <v>99</v>
      </c>
      <c r="B32" s="152"/>
      <c r="C32" s="158">
        <v>40</v>
      </c>
      <c r="D32" s="159"/>
      <c r="E32" s="159"/>
      <c r="F32" s="160"/>
      <c r="G32" s="158">
        <v>40</v>
      </c>
      <c r="H32" s="159"/>
      <c r="I32" s="159"/>
      <c r="J32" s="160"/>
      <c r="L32" s="107"/>
      <c r="M32" s="107"/>
    </row>
    <row r="33" spans="1:26" s="59" customFormat="1" ht="15">
      <c r="A33" s="151" t="s">
        <v>100</v>
      </c>
      <c r="B33" s="152"/>
      <c r="C33" s="153">
        <v>50</v>
      </c>
      <c r="D33" s="153"/>
      <c r="E33" s="153"/>
      <c r="F33" s="153"/>
      <c r="G33" s="153">
        <v>50</v>
      </c>
      <c r="H33" s="153"/>
      <c r="I33" s="153"/>
      <c r="J33" s="153"/>
      <c r="L33" s="107"/>
      <c r="M33" s="107"/>
    </row>
    <row r="34" spans="1:26" s="59" customFormat="1" ht="15">
      <c r="A34" s="151" t="s">
        <v>101</v>
      </c>
      <c r="B34" s="152"/>
      <c r="C34" s="153">
        <v>100</v>
      </c>
      <c r="D34" s="153"/>
      <c r="E34" s="153"/>
      <c r="F34" s="153"/>
      <c r="G34" s="153">
        <v>100</v>
      </c>
      <c r="H34" s="153"/>
      <c r="I34" s="153"/>
      <c r="J34" s="153"/>
      <c r="L34" s="107"/>
      <c r="M34" s="107"/>
    </row>
    <row r="35" spans="1:26" s="59" customFormat="1" ht="15">
      <c r="A35" s="151" t="s">
        <v>102</v>
      </c>
      <c r="B35" s="152"/>
      <c r="C35" s="153">
        <v>200</v>
      </c>
      <c r="D35" s="153"/>
      <c r="E35" s="153"/>
      <c r="F35" s="153"/>
      <c r="G35" s="153">
        <v>200</v>
      </c>
      <c r="H35" s="153"/>
      <c r="I35" s="153"/>
      <c r="J35" s="153"/>
      <c r="L35" s="107"/>
      <c r="M35" s="107"/>
    </row>
    <row r="36" spans="1:26" s="59" customFormat="1" ht="15">
      <c r="A36" s="151" t="s">
        <v>103</v>
      </c>
      <c r="B36" s="152"/>
      <c r="C36" s="158" t="s">
        <v>104</v>
      </c>
      <c r="D36" s="159"/>
      <c r="E36" s="159"/>
      <c r="F36" s="159"/>
      <c r="G36" s="159"/>
      <c r="H36" s="159"/>
      <c r="I36" s="159"/>
      <c r="J36" s="160"/>
      <c r="L36" s="107"/>
      <c r="M36" s="107"/>
    </row>
    <row r="37" spans="1:26" s="59" customFormat="1" ht="15">
      <c r="A37" s="60"/>
      <c r="L37" s="107"/>
      <c r="M37" s="107"/>
    </row>
    <row r="38" spans="1:26" s="59" customFormat="1" ht="15">
      <c r="A38" s="60"/>
      <c r="L38" s="107"/>
      <c r="M38" s="107"/>
    </row>
    <row r="39" spans="1:26" s="7" customFormat="1" ht="13.5">
      <c r="A39" s="8"/>
      <c r="L39" s="106"/>
      <c r="M39" s="106"/>
    </row>
    <row r="40" spans="1:26" s="7" customFormat="1" ht="13.5">
      <c r="A40" s="8"/>
      <c r="L40" s="106"/>
      <c r="M40" s="106"/>
    </row>
    <row r="41" spans="1:26" s="7" customFormat="1" ht="13.5">
      <c r="A41" s="8"/>
      <c r="L41" s="106"/>
      <c r="M41" s="106"/>
    </row>
    <row r="42" spans="1:26" s="59" customFormat="1" ht="19.25" customHeight="1">
      <c r="A42" s="61" t="s">
        <v>105</v>
      </c>
      <c r="B42" s="62" t="s">
        <v>106</v>
      </c>
      <c r="C42" s="161" t="s">
        <v>107</v>
      </c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3"/>
      <c r="O42" s="164" t="s">
        <v>108</v>
      </c>
      <c r="P42" s="165"/>
      <c r="Q42" s="165"/>
      <c r="R42" s="165"/>
      <c r="S42" s="166"/>
      <c r="T42" s="164" t="s">
        <v>109</v>
      </c>
      <c r="U42" s="165"/>
      <c r="V42" s="165"/>
      <c r="W42" s="166"/>
      <c r="X42" s="165" t="s">
        <v>110</v>
      </c>
      <c r="Y42" s="165"/>
      <c r="Z42" s="166"/>
    </row>
    <row r="43" spans="1:26" s="7" customFormat="1" ht="16.5" customHeight="1">
      <c r="A43" s="173" t="s">
        <v>111</v>
      </c>
      <c r="B43" s="61" t="s">
        <v>112</v>
      </c>
      <c r="C43" s="170" t="s">
        <v>113</v>
      </c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2"/>
      <c r="O43" s="167" t="s">
        <v>114</v>
      </c>
      <c r="P43" s="168"/>
      <c r="Q43" s="168"/>
      <c r="R43" s="168"/>
      <c r="S43" s="169"/>
      <c r="T43" s="167" t="s">
        <v>115</v>
      </c>
      <c r="U43" s="168"/>
      <c r="V43" s="168"/>
      <c r="W43" s="169"/>
      <c r="X43" s="167">
        <v>1</v>
      </c>
      <c r="Y43" s="168"/>
      <c r="Z43" s="169"/>
    </row>
    <row r="44" spans="1:26" s="7" customFormat="1" ht="16.5" customHeight="1">
      <c r="A44" s="174"/>
      <c r="B44" s="61" t="s">
        <v>116</v>
      </c>
      <c r="C44" s="170" t="s">
        <v>117</v>
      </c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2"/>
      <c r="O44" s="167" t="s">
        <v>114</v>
      </c>
      <c r="P44" s="168"/>
      <c r="Q44" s="168"/>
      <c r="R44" s="168"/>
      <c r="S44" s="169"/>
      <c r="T44" s="167" t="s">
        <v>118</v>
      </c>
      <c r="U44" s="168"/>
      <c r="V44" s="168"/>
      <c r="W44" s="169"/>
      <c r="X44" s="167">
        <v>1</v>
      </c>
      <c r="Y44" s="168"/>
      <c r="Z44" s="169"/>
    </row>
    <row r="45" spans="1:26" s="7" customFormat="1" ht="16.5" customHeight="1">
      <c r="A45" s="174"/>
      <c r="B45" s="61" t="s">
        <v>119</v>
      </c>
      <c r="C45" s="170" t="s">
        <v>120</v>
      </c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2"/>
      <c r="O45" s="167" t="s">
        <v>121</v>
      </c>
      <c r="P45" s="168"/>
      <c r="Q45" s="168"/>
      <c r="R45" s="168"/>
      <c r="S45" s="169"/>
      <c r="T45" s="167" t="s">
        <v>122</v>
      </c>
      <c r="U45" s="168"/>
      <c r="V45" s="168"/>
      <c r="W45" s="169"/>
      <c r="X45" s="167">
        <v>6</v>
      </c>
      <c r="Y45" s="168"/>
      <c r="Z45" s="169"/>
    </row>
    <row r="46" spans="1:26" s="7" customFormat="1" ht="16.5" customHeight="1">
      <c r="A46" s="174"/>
      <c r="B46" s="61" t="s">
        <v>123</v>
      </c>
      <c r="C46" s="170" t="s">
        <v>124</v>
      </c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2"/>
      <c r="O46" s="167" t="s">
        <v>0</v>
      </c>
      <c r="P46" s="168"/>
      <c r="Q46" s="168"/>
      <c r="R46" s="168"/>
      <c r="S46" s="169"/>
      <c r="T46" s="167" t="s">
        <v>125</v>
      </c>
      <c r="U46" s="168"/>
      <c r="V46" s="168"/>
      <c r="W46" s="169"/>
      <c r="X46" s="167">
        <v>6</v>
      </c>
      <c r="Y46" s="168"/>
      <c r="Z46" s="169"/>
    </row>
    <row r="47" spans="1:26" s="7" customFormat="1" ht="16.5" customHeight="1">
      <c r="A47" s="175"/>
      <c r="B47" s="61" t="s">
        <v>126</v>
      </c>
      <c r="C47" s="170" t="s">
        <v>127</v>
      </c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2"/>
      <c r="O47" s="167" t="s">
        <v>0</v>
      </c>
      <c r="P47" s="168"/>
      <c r="Q47" s="168"/>
      <c r="R47" s="168"/>
      <c r="S47" s="169"/>
      <c r="T47" s="167" t="s">
        <v>4</v>
      </c>
      <c r="U47" s="168"/>
      <c r="V47" s="168"/>
      <c r="W47" s="169"/>
      <c r="X47" s="167">
        <v>6</v>
      </c>
      <c r="Y47" s="168"/>
      <c r="Z47" s="169"/>
    </row>
    <row r="48" spans="1:26" s="7" customFormat="1" ht="16.5" customHeight="1">
      <c r="A48" s="176" t="s">
        <v>128</v>
      </c>
      <c r="B48" s="61" t="s">
        <v>129</v>
      </c>
      <c r="C48" s="170" t="s">
        <v>130</v>
      </c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2"/>
      <c r="O48" s="167" t="s">
        <v>131</v>
      </c>
      <c r="P48" s="168"/>
      <c r="Q48" s="168"/>
      <c r="R48" s="168"/>
      <c r="S48" s="169"/>
      <c r="T48" s="167" t="s">
        <v>69</v>
      </c>
      <c r="U48" s="168"/>
      <c r="V48" s="168"/>
      <c r="W48" s="169"/>
      <c r="X48" s="167">
        <v>2</v>
      </c>
      <c r="Y48" s="168"/>
      <c r="Z48" s="169"/>
    </row>
    <row r="49" spans="1:26" s="7" customFormat="1" ht="16.5" customHeight="1">
      <c r="A49" s="177"/>
      <c r="B49" s="61" t="s">
        <v>132</v>
      </c>
      <c r="C49" s="170" t="s">
        <v>133</v>
      </c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2"/>
      <c r="O49" s="167" t="s">
        <v>134</v>
      </c>
      <c r="P49" s="168"/>
      <c r="Q49" s="168"/>
      <c r="R49" s="168"/>
      <c r="S49" s="169"/>
      <c r="T49" s="167" t="s">
        <v>135</v>
      </c>
      <c r="U49" s="168"/>
      <c r="V49" s="168"/>
      <c r="W49" s="169"/>
      <c r="X49" s="167">
        <v>1</v>
      </c>
      <c r="Y49" s="168"/>
      <c r="Z49" s="169"/>
    </row>
    <row r="50" spans="1:26" s="7" customFormat="1" ht="16.5" customHeight="1">
      <c r="A50" s="176" t="s">
        <v>136</v>
      </c>
      <c r="B50" s="61" t="s">
        <v>137</v>
      </c>
      <c r="C50" s="170" t="s">
        <v>138</v>
      </c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2"/>
      <c r="O50" s="167" t="s">
        <v>139</v>
      </c>
      <c r="P50" s="168"/>
      <c r="Q50" s="168"/>
      <c r="R50" s="168"/>
      <c r="S50" s="169"/>
      <c r="T50" s="167" t="s">
        <v>140</v>
      </c>
      <c r="U50" s="168"/>
      <c r="V50" s="168"/>
      <c r="W50" s="169"/>
      <c r="X50" s="167">
        <v>1</v>
      </c>
      <c r="Y50" s="168"/>
      <c r="Z50" s="169"/>
    </row>
    <row r="51" spans="1:26" s="7" customFormat="1" ht="16.5" customHeight="1">
      <c r="A51" s="178"/>
      <c r="B51" s="61" t="s">
        <v>141</v>
      </c>
      <c r="C51" s="170" t="s">
        <v>142</v>
      </c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2"/>
      <c r="O51" s="167" t="s">
        <v>139</v>
      </c>
      <c r="P51" s="168"/>
      <c r="Q51" s="168"/>
      <c r="R51" s="168"/>
      <c r="S51" s="169"/>
      <c r="T51" s="167" t="s">
        <v>143</v>
      </c>
      <c r="U51" s="168"/>
      <c r="V51" s="168"/>
      <c r="W51" s="169"/>
      <c r="X51" s="167">
        <v>4</v>
      </c>
      <c r="Y51" s="168"/>
      <c r="Z51" s="169"/>
    </row>
    <row r="52" spans="1:26" s="7" customFormat="1" ht="16.5" customHeight="1">
      <c r="A52" s="178"/>
      <c r="B52" s="61" t="s">
        <v>144</v>
      </c>
      <c r="C52" s="170" t="s">
        <v>145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2"/>
      <c r="O52" s="167" t="s">
        <v>114</v>
      </c>
      <c r="P52" s="168"/>
      <c r="Q52" s="168"/>
      <c r="R52" s="168"/>
      <c r="S52" s="169"/>
      <c r="T52" s="167" t="s">
        <v>146</v>
      </c>
      <c r="U52" s="168"/>
      <c r="V52" s="168"/>
      <c r="W52" s="169"/>
      <c r="X52" s="167">
        <v>1</v>
      </c>
      <c r="Y52" s="168"/>
      <c r="Z52" s="169"/>
    </row>
    <row r="53" spans="1:26" s="7" customFormat="1" ht="16.5" customHeight="1">
      <c r="A53" s="177"/>
      <c r="B53" s="61" t="s">
        <v>147</v>
      </c>
      <c r="C53" s="170" t="s">
        <v>148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2"/>
      <c r="O53" s="167" t="s">
        <v>114</v>
      </c>
      <c r="P53" s="168"/>
      <c r="Q53" s="168"/>
      <c r="R53" s="168"/>
      <c r="S53" s="169"/>
      <c r="T53" s="167" t="s">
        <v>149</v>
      </c>
      <c r="U53" s="168"/>
      <c r="V53" s="168"/>
      <c r="W53" s="169"/>
      <c r="X53" s="167">
        <v>1</v>
      </c>
      <c r="Y53" s="168"/>
      <c r="Z53" s="169"/>
    </row>
    <row r="54" spans="1:26" s="7" customFormat="1" ht="16.5" customHeight="1">
      <c r="A54" s="179" t="s">
        <v>150</v>
      </c>
      <c r="B54" s="61" t="s">
        <v>151</v>
      </c>
      <c r="C54" s="170" t="s">
        <v>152</v>
      </c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2"/>
      <c r="O54" s="167" t="s">
        <v>153</v>
      </c>
      <c r="P54" s="168"/>
      <c r="Q54" s="168"/>
      <c r="R54" s="168"/>
      <c r="S54" s="169"/>
      <c r="T54" s="167" t="s">
        <v>154</v>
      </c>
      <c r="U54" s="168"/>
      <c r="V54" s="168"/>
      <c r="W54" s="169"/>
      <c r="X54" s="167">
        <v>1</v>
      </c>
      <c r="Y54" s="168"/>
      <c r="Z54" s="169"/>
    </row>
    <row r="55" spans="1:26" s="7" customFormat="1" ht="16.5" customHeight="1">
      <c r="A55" s="180"/>
      <c r="B55" s="61" t="s">
        <v>155</v>
      </c>
      <c r="C55" s="170" t="s">
        <v>156</v>
      </c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2"/>
      <c r="O55" s="167" t="s">
        <v>139</v>
      </c>
      <c r="P55" s="168"/>
      <c r="Q55" s="168"/>
      <c r="R55" s="168"/>
      <c r="S55" s="169"/>
      <c r="T55" s="167" t="s">
        <v>157</v>
      </c>
      <c r="U55" s="168"/>
      <c r="V55" s="168"/>
      <c r="W55" s="169"/>
      <c r="X55" s="167">
        <v>2</v>
      </c>
      <c r="Y55" s="168"/>
      <c r="Z55" s="169"/>
    </row>
    <row r="56" spans="1:26" s="7" customFormat="1" ht="16.5" customHeight="1">
      <c r="A56" s="180"/>
      <c r="B56" s="61" t="s">
        <v>158</v>
      </c>
      <c r="C56" s="170" t="s">
        <v>159</v>
      </c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2"/>
      <c r="O56" s="167" t="s">
        <v>139</v>
      </c>
      <c r="P56" s="168"/>
      <c r="Q56" s="168"/>
      <c r="R56" s="168"/>
      <c r="S56" s="169"/>
      <c r="T56" s="167" t="s">
        <v>160</v>
      </c>
      <c r="U56" s="168"/>
      <c r="V56" s="168"/>
      <c r="W56" s="169"/>
      <c r="X56" s="167">
        <v>2</v>
      </c>
      <c r="Y56" s="168"/>
      <c r="Z56" s="169"/>
    </row>
    <row r="57" spans="1:26" s="7" customFormat="1" ht="16.5" customHeight="1">
      <c r="A57" s="180"/>
      <c r="B57" s="61" t="s">
        <v>161</v>
      </c>
      <c r="C57" s="170" t="s">
        <v>162</v>
      </c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2"/>
      <c r="O57" s="167" t="s">
        <v>139</v>
      </c>
      <c r="P57" s="168"/>
      <c r="Q57" s="168"/>
      <c r="R57" s="168"/>
      <c r="S57" s="169"/>
      <c r="T57" s="167" t="s">
        <v>163</v>
      </c>
      <c r="U57" s="168"/>
      <c r="V57" s="168"/>
      <c r="W57" s="169"/>
      <c r="X57" s="167">
        <v>2</v>
      </c>
      <c r="Y57" s="168"/>
      <c r="Z57" s="169"/>
    </row>
    <row r="58" spans="1:26" s="7" customFormat="1" ht="16.5" customHeight="1">
      <c r="A58" s="181"/>
      <c r="B58" s="61" t="s">
        <v>164</v>
      </c>
      <c r="C58" s="170" t="s">
        <v>165</v>
      </c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2"/>
      <c r="O58" s="167" t="s">
        <v>139</v>
      </c>
      <c r="P58" s="168"/>
      <c r="Q58" s="168"/>
      <c r="R58" s="168"/>
      <c r="S58" s="169"/>
      <c r="T58" s="167" t="s">
        <v>166</v>
      </c>
      <c r="U58" s="168"/>
      <c r="V58" s="168"/>
      <c r="W58" s="169"/>
      <c r="X58" s="167">
        <v>22</v>
      </c>
      <c r="Y58" s="168"/>
      <c r="Z58" s="169"/>
    </row>
    <row r="59" spans="1:26" s="7" customFormat="1" ht="16.5" customHeight="1">
      <c r="A59" s="63" t="s">
        <v>167</v>
      </c>
      <c r="B59" s="61" t="s">
        <v>168</v>
      </c>
      <c r="C59" s="170" t="s">
        <v>169</v>
      </c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2"/>
      <c r="O59" s="167" t="s">
        <v>139</v>
      </c>
      <c r="P59" s="168"/>
      <c r="Q59" s="168"/>
      <c r="R59" s="168"/>
      <c r="S59" s="169"/>
      <c r="T59" s="167" t="s">
        <v>170</v>
      </c>
      <c r="U59" s="168"/>
      <c r="V59" s="168"/>
      <c r="W59" s="169"/>
      <c r="X59" s="167">
        <v>8</v>
      </c>
      <c r="Y59" s="168"/>
      <c r="Z59" s="169"/>
    </row>
    <row r="60" spans="1:26" s="7" customFormat="1" ht="16.5" customHeight="1">
      <c r="A60" s="63" t="s">
        <v>171</v>
      </c>
      <c r="B60" s="61" t="s">
        <v>172</v>
      </c>
      <c r="C60" s="170" t="s">
        <v>124</v>
      </c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2"/>
      <c r="O60" s="167" t="s">
        <v>114</v>
      </c>
      <c r="P60" s="168"/>
      <c r="Q60" s="168"/>
      <c r="R60" s="168"/>
      <c r="S60" s="169"/>
      <c r="T60" s="167" t="s">
        <v>173</v>
      </c>
      <c r="U60" s="168"/>
      <c r="V60" s="168"/>
      <c r="W60" s="169"/>
      <c r="X60" s="167">
        <v>1</v>
      </c>
      <c r="Y60" s="168"/>
      <c r="Z60" s="169"/>
    </row>
    <row r="61" spans="1:26" s="7" customFormat="1" ht="16.5" customHeight="1">
      <c r="A61" s="182" t="s">
        <v>174</v>
      </c>
      <c r="B61" s="61" t="s">
        <v>175</v>
      </c>
      <c r="C61" s="170" t="s">
        <v>156</v>
      </c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2"/>
      <c r="O61" s="167" t="s">
        <v>139</v>
      </c>
      <c r="P61" s="168"/>
      <c r="Q61" s="168"/>
      <c r="R61" s="168"/>
      <c r="S61" s="169"/>
      <c r="T61" s="167" t="s">
        <v>157</v>
      </c>
      <c r="U61" s="168"/>
      <c r="V61" s="168"/>
      <c r="W61" s="169"/>
      <c r="X61" s="167">
        <v>2</v>
      </c>
      <c r="Y61" s="168"/>
      <c r="Z61" s="169"/>
    </row>
    <row r="62" spans="1:26" s="7" customFormat="1" ht="16.5" customHeight="1">
      <c r="A62" s="183"/>
      <c r="B62" s="61" t="s">
        <v>176</v>
      </c>
      <c r="C62" s="170" t="s">
        <v>177</v>
      </c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2"/>
      <c r="O62" s="167" t="s">
        <v>139</v>
      </c>
      <c r="P62" s="168"/>
      <c r="Q62" s="168"/>
      <c r="R62" s="168"/>
      <c r="S62" s="169"/>
      <c r="T62" s="167" t="s">
        <v>178</v>
      </c>
      <c r="U62" s="168"/>
      <c r="V62" s="168"/>
      <c r="W62" s="169"/>
      <c r="X62" s="167">
        <v>1</v>
      </c>
      <c r="Y62" s="168"/>
      <c r="Z62" s="169"/>
    </row>
    <row r="63" spans="1:26" s="7" customFormat="1" ht="16.5" customHeight="1">
      <c r="A63" s="63" t="s">
        <v>179</v>
      </c>
      <c r="B63" s="61" t="s">
        <v>180</v>
      </c>
      <c r="C63" s="170" t="s">
        <v>127</v>
      </c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2"/>
      <c r="O63" s="167" t="s">
        <v>0</v>
      </c>
      <c r="P63" s="168"/>
      <c r="Q63" s="168"/>
      <c r="R63" s="168"/>
      <c r="S63" s="169"/>
      <c r="T63" s="167" t="s">
        <v>4</v>
      </c>
      <c r="U63" s="168"/>
      <c r="V63" s="168"/>
      <c r="W63" s="169"/>
      <c r="X63" s="167">
        <v>1</v>
      </c>
      <c r="Y63" s="168"/>
      <c r="Z63" s="169"/>
    </row>
    <row r="64" spans="1:26" s="7" customFormat="1" ht="16.5" customHeight="1">
      <c r="A64" s="63" t="s">
        <v>181</v>
      </c>
      <c r="B64" s="61" t="s">
        <v>182</v>
      </c>
      <c r="C64" s="170" t="s">
        <v>152</v>
      </c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2"/>
      <c r="O64" s="167" t="s">
        <v>153</v>
      </c>
      <c r="P64" s="168"/>
      <c r="Q64" s="168"/>
      <c r="R64" s="168"/>
      <c r="S64" s="169"/>
      <c r="T64" s="167" t="s">
        <v>154</v>
      </c>
      <c r="U64" s="168"/>
      <c r="V64" s="168"/>
      <c r="W64" s="169"/>
      <c r="X64" s="167">
        <v>1</v>
      </c>
      <c r="Y64" s="168"/>
      <c r="Z64" s="169"/>
    </row>
    <row r="65" spans="1:26" s="7" customFormat="1" ht="16.5" customHeight="1">
      <c r="A65" s="63" t="s">
        <v>183</v>
      </c>
      <c r="B65" s="61" t="s">
        <v>184</v>
      </c>
      <c r="C65" s="170" t="s">
        <v>113</v>
      </c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2"/>
      <c r="O65" s="167" t="s">
        <v>114</v>
      </c>
      <c r="P65" s="168"/>
      <c r="Q65" s="168"/>
      <c r="R65" s="168"/>
      <c r="S65" s="169"/>
      <c r="T65" s="167" t="s">
        <v>185</v>
      </c>
      <c r="U65" s="168"/>
      <c r="V65" s="168"/>
      <c r="W65" s="169"/>
      <c r="X65" s="167">
        <v>1</v>
      </c>
      <c r="Y65" s="168"/>
      <c r="Z65" s="169"/>
    </row>
    <row r="66" spans="1:26" s="7" customFormat="1" ht="16.5" customHeight="1">
      <c r="A66" s="63" t="s">
        <v>186</v>
      </c>
      <c r="B66" s="61" t="s">
        <v>187</v>
      </c>
      <c r="C66" s="170" t="s">
        <v>145</v>
      </c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2"/>
      <c r="O66" s="167" t="s">
        <v>114</v>
      </c>
      <c r="P66" s="168"/>
      <c r="Q66" s="168"/>
      <c r="R66" s="168"/>
      <c r="S66" s="169"/>
      <c r="T66" s="167" t="s">
        <v>146</v>
      </c>
      <c r="U66" s="168"/>
      <c r="V66" s="168"/>
      <c r="W66" s="169"/>
      <c r="X66" s="167">
        <v>1</v>
      </c>
      <c r="Y66" s="168"/>
      <c r="Z66" s="169"/>
    </row>
    <row r="67" spans="1:26" s="7" customFormat="1" ht="16.5" customHeight="1">
      <c r="A67" s="63" t="s">
        <v>188</v>
      </c>
      <c r="B67" s="61" t="s">
        <v>189</v>
      </c>
      <c r="C67" s="170" t="s">
        <v>190</v>
      </c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2"/>
      <c r="O67" s="167" t="s">
        <v>0</v>
      </c>
      <c r="P67" s="168"/>
      <c r="Q67" s="168"/>
      <c r="R67" s="168"/>
      <c r="S67" s="169"/>
      <c r="T67" s="167" t="s">
        <v>125</v>
      </c>
      <c r="U67" s="168"/>
      <c r="V67" s="168"/>
      <c r="W67" s="169"/>
      <c r="X67" s="167">
        <v>6</v>
      </c>
      <c r="Y67" s="168"/>
      <c r="Z67" s="169"/>
    </row>
    <row r="68" spans="1:26" s="7" customFormat="1" ht="16.5" customHeight="1">
      <c r="A68" s="61">
        <v>13</v>
      </c>
      <c r="B68" s="61" t="s">
        <v>191</v>
      </c>
      <c r="C68" s="184" t="s">
        <v>192</v>
      </c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6"/>
      <c r="O68" s="187" t="s">
        <v>114</v>
      </c>
      <c r="P68" s="188"/>
      <c r="Q68" s="188"/>
      <c r="R68" s="188"/>
      <c r="S68" s="189"/>
      <c r="T68" s="167" t="s">
        <v>115</v>
      </c>
      <c r="U68" s="168"/>
      <c r="V68" s="168"/>
      <c r="W68" s="169"/>
      <c r="X68" s="167">
        <v>1</v>
      </c>
      <c r="Y68" s="168"/>
      <c r="Z68" s="169"/>
    </row>
    <row r="69" spans="1:26" s="7" customFormat="1" ht="16.5" customHeight="1">
      <c r="A69" s="61" t="s">
        <v>5</v>
      </c>
      <c r="B69" s="61" t="s">
        <v>193</v>
      </c>
      <c r="C69" s="184" t="s">
        <v>194</v>
      </c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6"/>
      <c r="O69" s="187" t="s">
        <v>114</v>
      </c>
      <c r="P69" s="188"/>
      <c r="Q69" s="188"/>
      <c r="R69" s="188"/>
      <c r="S69" s="189"/>
      <c r="T69" s="167" t="s">
        <v>118</v>
      </c>
      <c r="U69" s="168"/>
      <c r="V69" s="168"/>
      <c r="W69" s="169"/>
      <c r="X69" s="167">
        <v>1</v>
      </c>
      <c r="Y69" s="168"/>
      <c r="Z69" s="169"/>
    </row>
    <row r="70" spans="1:26" s="7" customFormat="1" ht="16.5" customHeight="1">
      <c r="A70" s="61" t="s">
        <v>5</v>
      </c>
      <c r="B70" s="61" t="s">
        <v>195</v>
      </c>
      <c r="C70" s="184" t="s">
        <v>196</v>
      </c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6"/>
      <c r="O70" s="187" t="s">
        <v>121</v>
      </c>
      <c r="P70" s="188"/>
      <c r="Q70" s="188"/>
      <c r="R70" s="188"/>
      <c r="S70" s="189"/>
      <c r="T70" s="167" t="s">
        <v>122</v>
      </c>
      <c r="U70" s="168"/>
      <c r="V70" s="168"/>
      <c r="W70" s="169"/>
      <c r="X70" s="167">
        <v>6</v>
      </c>
      <c r="Y70" s="168"/>
      <c r="Z70" s="169"/>
    </row>
    <row r="71" spans="1:26" s="7" customFormat="1" ht="16.5" customHeight="1">
      <c r="A71" s="61" t="s">
        <v>5</v>
      </c>
      <c r="B71" s="61" t="s">
        <v>197</v>
      </c>
      <c r="C71" s="184" t="s">
        <v>198</v>
      </c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6"/>
      <c r="O71" s="187" t="s">
        <v>0</v>
      </c>
      <c r="P71" s="188"/>
      <c r="Q71" s="188"/>
      <c r="R71" s="188"/>
      <c r="S71" s="189"/>
      <c r="T71" s="167" t="s">
        <v>125</v>
      </c>
      <c r="U71" s="168"/>
      <c r="V71" s="168"/>
      <c r="W71" s="169"/>
      <c r="X71" s="167">
        <v>6</v>
      </c>
      <c r="Y71" s="168"/>
      <c r="Z71" s="169"/>
    </row>
    <row r="72" spans="1:26" s="7" customFormat="1" ht="16.5" customHeight="1">
      <c r="A72" s="61" t="s">
        <v>5</v>
      </c>
      <c r="B72" s="61" t="s">
        <v>199</v>
      </c>
      <c r="C72" s="184" t="s">
        <v>47</v>
      </c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6"/>
      <c r="O72" s="187" t="s">
        <v>0</v>
      </c>
      <c r="P72" s="188"/>
      <c r="Q72" s="188"/>
      <c r="R72" s="188"/>
      <c r="S72" s="189"/>
      <c r="T72" s="167" t="s">
        <v>4</v>
      </c>
      <c r="U72" s="168"/>
      <c r="V72" s="168"/>
      <c r="W72" s="169"/>
      <c r="X72" s="167">
        <v>6</v>
      </c>
      <c r="Y72" s="168"/>
      <c r="Z72" s="169"/>
    </row>
    <row r="73" spans="1:26" s="7" customFormat="1" ht="16.5" customHeight="1">
      <c r="A73" s="61">
        <v>14</v>
      </c>
      <c r="B73" s="11" t="s">
        <v>200</v>
      </c>
      <c r="C73" s="184" t="s">
        <v>201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9"/>
      <c r="O73" s="187" t="s">
        <v>139</v>
      </c>
      <c r="P73" s="188"/>
      <c r="Q73" s="188"/>
      <c r="R73" s="188"/>
      <c r="S73" s="189"/>
      <c r="T73" s="167" t="s">
        <v>140</v>
      </c>
      <c r="U73" s="168"/>
      <c r="V73" s="168"/>
      <c r="W73" s="169"/>
      <c r="X73" s="190">
        <v>1</v>
      </c>
      <c r="Y73" s="191"/>
      <c r="Z73" s="192"/>
    </row>
    <row r="74" spans="1:26" s="7" customFormat="1" ht="16.5" customHeight="1">
      <c r="A74" s="61" t="s">
        <v>5</v>
      </c>
      <c r="B74" s="11" t="s">
        <v>202</v>
      </c>
      <c r="C74" s="184" t="s">
        <v>203</v>
      </c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9"/>
      <c r="O74" s="187" t="s">
        <v>139</v>
      </c>
      <c r="P74" s="188"/>
      <c r="Q74" s="188"/>
      <c r="R74" s="188"/>
      <c r="S74" s="189"/>
      <c r="T74" s="167" t="s">
        <v>143</v>
      </c>
      <c r="U74" s="168"/>
      <c r="V74" s="168"/>
      <c r="W74" s="169"/>
      <c r="X74" s="190">
        <v>4</v>
      </c>
      <c r="Y74" s="191"/>
      <c r="Z74" s="192"/>
    </row>
    <row r="75" spans="1:26" s="7" customFormat="1" ht="16.5" customHeight="1">
      <c r="A75" s="61" t="s">
        <v>5</v>
      </c>
      <c r="B75" s="11" t="s">
        <v>204</v>
      </c>
      <c r="C75" s="184" t="s">
        <v>205</v>
      </c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9"/>
      <c r="O75" s="187" t="s">
        <v>114</v>
      </c>
      <c r="P75" s="188"/>
      <c r="Q75" s="188"/>
      <c r="R75" s="188"/>
      <c r="S75" s="189"/>
      <c r="T75" s="167" t="s">
        <v>146</v>
      </c>
      <c r="U75" s="168"/>
      <c r="V75" s="168"/>
      <c r="W75" s="169"/>
      <c r="X75" s="190">
        <v>1</v>
      </c>
      <c r="Y75" s="191"/>
      <c r="Z75" s="192"/>
    </row>
    <row r="76" spans="1:26" s="7" customFormat="1" ht="16.5" customHeight="1">
      <c r="A76" s="61" t="s">
        <v>5</v>
      </c>
      <c r="B76" s="11" t="s">
        <v>206</v>
      </c>
      <c r="C76" s="184" t="s">
        <v>207</v>
      </c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9"/>
      <c r="O76" s="187" t="s">
        <v>114</v>
      </c>
      <c r="P76" s="188"/>
      <c r="Q76" s="188"/>
      <c r="R76" s="188"/>
      <c r="S76" s="189"/>
      <c r="T76" s="167" t="s">
        <v>149</v>
      </c>
      <c r="U76" s="168"/>
      <c r="V76" s="168"/>
      <c r="W76" s="169"/>
      <c r="X76" s="190">
        <v>1</v>
      </c>
      <c r="Y76" s="191"/>
      <c r="Z76" s="192"/>
    </row>
    <row r="77" spans="1:26" s="7" customFormat="1" ht="16.5" customHeight="1">
      <c r="A77" s="61">
        <v>15</v>
      </c>
      <c r="B77" s="61" t="s">
        <v>208</v>
      </c>
      <c r="C77" s="184" t="s">
        <v>209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9"/>
      <c r="O77" s="167" t="s">
        <v>153</v>
      </c>
      <c r="P77" s="168"/>
      <c r="Q77" s="168"/>
      <c r="R77" s="168"/>
      <c r="S77" s="169"/>
      <c r="T77" s="167" t="s">
        <v>154</v>
      </c>
      <c r="U77" s="168"/>
      <c r="V77" s="168"/>
      <c r="W77" s="169"/>
      <c r="X77" s="167">
        <v>1</v>
      </c>
      <c r="Y77" s="168"/>
      <c r="Z77" s="169"/>
    </row>
    <row r="78" spans="1:26" s="7" customFormat="1" ht="16.5" customHeight="1">
      <c r="A78" s="61" t="s">
        <v>5</v>
      </c>
      <c r="B78" s="61" t="s">
        <v>210</v>
      </c>
      <c r="C78" s="184" t="s">
        <v>211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9"/>
      <c r="O78" s="187" t="s">
        <v>139</v>
      </c>
      <c r="P78" s="188"/>
      <c r="Q78" s="188"/>
      <c r="R78" s="188"/>
      <c r="S78" s="189"/>
      <c r="T78" s="167" t="s">
        <v>157</v>
      </c>
      <c r="U78" s="168"/>
      <c r="V78" s="168"/>
      <c r="W78" s="169"/>
      <c r="X78" s="167">
        <v>2</v>
      </c>
      <c r="Y78" s="168"/>
      <c r="Z78" s="169"/>
    </row>
    <row r="79" spans="1:26" s="7" customFormat="1" ht="16.5" customHeight="1">
      <c r="A79" s="61" t="s">
        <v>5</v>
      </c>
      <c r="B79" s="61" t="s">
        <v>212</v>
      </c>
      <c r="C79" s="184" t="s">
        <v>213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9"/>
      <c r="O79" s="187" t="s">
        <v>139</v>
      </c>
      <c r="P79" s="188"/>
      <c r="Q79" s="188"/>
      <c r="R79" s="188"/>
      <c r="S79" s="189"/>
      <c r="T79" s="167" t="s">
        <v>160</v>
      </c>
      <c r="U79" s="168"/>
      <c r="V79" s="168"/>
      <c r="W79" s="169"/>
      <c r="X79" s="167">
        <v>2</v>
      </c>
      <c r="Y79" s="168"/>
      <c r="Z79" s="169"/>
    </row>
    <row r="80" spans="1:26" s="7" customFormat="1" ht="16.5" customHeight="1">
      <c r="A80" s="61" t="s">
        <v>5</v>
      </c>
      <c r="B80" s="61" t="s">
        <v>214</v>
      </c>
      <c r="C80" s="184" t="s">
        <v>215</v>
      </c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9"/>
      <c r="O80" s="187" t="s">
        <v>139</v>
      </c>
      <c r="P80" s="188"/>
      <c r="Q80" s="188"/>
      <c r="R80" s="188"/>
      <c r="S80" s="189"/>
      <c r="T80" s="167" t="s">
        <v>163</v>
      </c>
      <c r="U80" s="168"/>
      <c r="V80" s="168"/>
      <c r="W80" s="169"/>
      <c r="X80" s="167">
        <v>2</v>
      </c>
      <c r="Y80" s="168"/>
      <c r="Z80" s="169"/>
    </row>
    <row r="81" spans="1:26" s="7" customFormat="1" ht="16.5" customHeight="1">
      <c r="A81" s="61" t="s">
        <v>5</v>
      </c>
      <c r="B81" s="61" t="s">
        <v>216</v>
      </c>
      <c r="C81" s="184" t="s">
        <v>217</v>
      </c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9"/>
      <c r="O81" s="187" t="s">
        <v>139</v>
      </c>
      <c r="P81" s="188"/>
      <c r="Q81" s="188"/>
      <c r="R81" s="188"/>
      <c r="S81" s="189"/>
      <c r="T81" s="167" t="s">
        <v>166</v>
      </c>
      <c r="U81" s="168"/>
      <c r="V81" s="168"/>
      <c r="W81" s="169"/>
      <c r="X81" s="167">
        <v>2</v>
      </c>
      <c r="Y81" s="168"/>
      <c r="Z81" s="169"/>
    </row>
    <row r="82" spans="1:26" s="7" customFormat="1" ht="20.350000000000001" customHeight="1">
      <c r="A82" s="8" t="s">
        <v>5</v>
      </c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</row>
    <row r="83" spans="1:26" ht="15.75">
      <c r="A83" s="64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</sheetData>
  <mergeCells count="270"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7:K7"/>
    <mergeCell ref="G8:J8"/>
    <mergeCell ref="A9:B9"/>
    <mergeCell ref="G9:J9"/>
    <mergeCell ref="S9:V10"/>
    <mergeCell ref="D10:F10"/>
    <mergeCell ref="G10:J10"/>
  </mergeCells>
  <pageMargins left="0.7" right="0.7" top="0.75" bottom="0.75" header="0.3" footer="0.3"/>
  <pageSetup scale="7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2B4C-DA12-4921-A38B-576B93ABBB4E}">
  <sheetPr>
    <pageSetUpPr fitToPage="1"/>
  </sheetPr>
  <dimension ref="A1:Z28"/>
  <sheetViews>
    <sheetView tabSelected="1" workbookViewId="0">
      <selection activeCell="G8" sqref="G8:J8"/>
    </sheetView>
  </sheetViews>
  <sheetFormatPr defaultRowHeight="14.25"/>
  <cols>
    <col min="1" max="1" width="10.796875" customWidth="1"/>
    <col min="2" max="2" width="56.33203125" customWidth="1"/>
    <col min="3" max="18" width="3.9296875" customWidth="1"/>
    <col min="19" max="20" width="4.3984375" customWidth="1"/>
    <col min="21" max="26" width="4.9296875" customWidth="1"/>
  </cols>
  <sheetData>
    <row r="1" spans="1:26" ht="15">
      <c r="A1" s="84" t="s">
        <v>72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51"/>
      <c r="X1" s="51"/>
      <c r="Y1" s="51"/>
      <c r="Z1" s="51"/>
    </row>
    <row r="2" spans="1:26" ht="1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51"/>
      <c r="X2" s="51"/>
      <c r="Y2" s="51"/>
      <c r="Z2" s="51"/>
    </row>
    <row r="3" spans="1:26" ht="1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51"/>
      <c r="X3" s="51"/>
      <c r="Y3" s="51"/>
      <c r="Z3" s="51"/>
    </row>
    <row r="4" spans="1:26" ht="1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51"/>
      <c r="X4" s="51"/>
      <c r="Y4" s="51"/>
      <c r="Z4" s="51"/>
    </row>
    <row r="5" spans="1:26" ht="1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51"/>
      <c r="X5" s="51"/>
      <c r="Y5" s="51"/>
      <c r="Z5" s="51"/>
    </row>
    <row r="6" spans="1:26" ht="29.65">
      <c r="A6" s="85" t="s">
        <v>218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s="7" customFormat="1" ht="17.25">
      <c r="A7" s="86" t="s">
        <v>218</v>
      </c>
      <c r="B7" s="86"/>
      <c r="C7" s="43" t="s">
        <v>74</v>
      </c>
      <c r="E7" s="17"/>
      <c r="F7" s="17"/>
      <c r="G7" s="82" t="str">
        <f>'ใบงาน Agilent_JOB 8'!F7</f>
        <v>xxx</v>
      </c>
      <c r="H7" s="82"/>
      <c r="I7" s="82"/>
      <c r="J7" s="82"/>
      <c r="L7" s="17"/>
      <c r="M7" s="17"/>
      <c r="N7" s="17"/>
      <c r="O7" s="17"/>
      <c r="P7" s="17"/>
      <c r="Q7" s="17"/>
      <c r="R7" s="17"/>
      <c r="S7" s="52" t="s">
        <v>55</v>
      </c>
      <c r="W7" s="194" t="str">
        <f>'ใบงาน Agilent_JOB 8'!M7</f>
        <v>xxx</v>
      </c>
      <c r="X7" s="194"/>
      <c r="Y7" s="194"/>
      <c r="Z7" s="194"/>
    </row>
    <row r="8" spans="1:26" s="7" customFormat="1" ht="13.5">
      <c r="A8" s="54" t="s">
        <v>75</v>
      </c>
      <c r="B8" s="53" t="str">
        <f>'ใบงาน Agilent_JOB 8'!F8</f>
        <v>K9801-60085</v>
      </c>
      <c r="C8" s="53" t="s">
        <v>76</v>
      </c>
      <c r="D8" s="53"/>
      <c r="E8" s="53"/>
      <c r="F8" s="53"/>
      <c r="G8" s="80" t="str">
        <f>'ใบงาน Agilent_JOB 8'!F9</f>
        <v>-</v>
      </c>
      <c r="H8" s="80"/>
      <c r="I8" s="80"/>
      <c r="J8" s="80"/>
      <c r="K8" s="42"/>
      <c r="L8" s="42"/>
      <c r="M8" s="42"/>
      <c r="N8" s="42"/>
      <c r="O8" s="42"/>
      <c r="P8" s="42"/>
      <c r="Q8" s="42"/>
      <c r="R8" s="42"/>
      <c r="S8" s="42" t="s">
        <v>224</v>
      </c>
      <c r="T8" s="42"/>
      <c r="X8" s="7" t="str">
        <f>'ใบงาน Agilent_JOB 8'!N9</f>
        <v>PO12345</v>
      </c>
    </row>
    <row r="9" spans="1:26" s="7" customFormat="1" ht="13.5">
      <c r="A9" s="79" t="s">
        <v>5</v>
      </c>
      <c r="B9" s="79"/>
      <c r="C9" s="67"/>
      <c r="D9" s="67"/>
      <c r="E9" s="67"/>
      <c r="F9" s="67"/>
      <c r="G9" s="80" t="s">
        <v>5</v>
      </c>
      <c r="H9" s="80"/>
      <c r="I9" s="80"/>
      <c r="J9" s="80"/>
      <c r="L9" s="17"/>
      <c r="M9" s="17"/>
      <c r="N9" s="17"/>
      <c r="O9" s="17"/>
      <c r="P9" s="17"/>
      <c r="Q9" s="17"/>
      <c r="R9" s="17"/>
      <c r="S9" s="81" t="s">
        <v>77</v>
      </c>
      <c r="T9" s="81"/>
      <c r="U9" s="81"/>
      <c r="V9" s="81"/>
    </row>
    <row r="10" spans="1:26" s="7" customFormat="1" ht="13.5">
      <c r="A10" s="42" t="s">
        <v>219</v>
      </c>
      <c r="B10" s="17">
        <f>'ใบงาน Agilent_JOB 8'!N8/50</f>
        <v>40</v>
      </c>
      <c r="C10" s="17"/>
      <c r="D10" s="82" t="s">
        <v>5</v>
      </c>
      <c r="E10" s="82"/>
      <c r="F10" s="82"/>
      <c r="G10" s="83" t="s">
        <v>5</v>
      </c>
      <c r="H10" s="83"/>
      <c r="I10" s="83"/>
      <c r="J10" s="83"/>
      <c r="K10" s="43"/>
      <c r="L10" s="17"/>
      <c r="M10" s="17"/>
      <c r="N10" s="17"/>
      <c r="O10" s="17"/>
      <c r="P10" s="17"/>
      <c r="Q10" s="17"/>
      <c r="R10" s="17"/>
      <c r="S10" s="81"/>
      <c r="T10" s="81"/>
      <c r="U10" s="81"/>
      <c r="V10" s="81"/>
    </row>
    <row r="11" spans="1:26" s="7" customFormat="1" ht="13.5">
      <c r="B11" s="82"/>
      <c r="C11" s="17"/>
      <c r="D11" s="17"/>
      <c r="E11" s="17"/>
      <c r="F11" s="17"/>
      <c r="G11" s="83" t="s">
        <v>5</v>
      </c>
      <c r="H11" s="83"/>
      <c r="I11" s="83"/>
      <c r="J11" s="83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6" s="7" customFormat="1" ht="13.5">
      <c r="A12" s="17" t="s">
        <v>220</v>
      </c>
      <c r="B12" s="82"/>
      <c r="C12" s="17"/>
      <c r="D12" s="17"/>
      <c r="E12" s="17"/>
      <c r="F12" s="17"/>
      <c r="G12" s="83" t="s">
        <v>5</v>
      </c>
      <c r="H12" s="83"/>
      <c r="I12" s="83"/>
      <c r="J12" s="83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6" s="7" customFormat="1" ht="13.5">
      <c r="A13" s="17"/>
      <c r="B13" s="87"/>
      <c r="C13" s="17"/>
      <c r="D13" s="17"/>
      <c r="E13" s="17"/>
      <c r="F13" s="17"/>
      <c r="G13" s="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6" s="7" customFormat="1" ht="13.5">
      <c r="A14" s="88" t="s">
        <v>17</v>
      </c>
      <c r="B14" s="88" t="s">
        <v>79</v>
      </c>
      <c r="C14" s="90" t="s">
        <v>80</v>
      </c>
      <c r="D14" s="91"/>
      <c r="E14" s="91"/>
      <c r="F14" s="91"/>
      <c r="G14" s="91"/>
      <c r="H14" s="92"/>
      <c r="I14" s="90" t="s">
        <v>23</v>
      </c>
      <c r="J14" s="91"/>
      <c r="K14" s="91"/>
      <c r="L14" s="91"/>
      <c r="M14" s="91"/>
      <c r="N14" s="92"/>
      <c r="O14" s="90" t="s">
        <v>24</v>
      </c>
      <c r="P14" s="100"/>
      <c r="Q14" s="100"/>
      <c r="R14" s="100"/>
      <c r="S14" s="100"/>
      <c r="T14" s="101"/>
      <c r="U14" s="105" t="s">
        <v>81</v>
      </c>
      <c r="V14" s="105"/>
      <c r="W14" s="105"/>
      <c r="X14" s="105"/>
      <c r="Y14" s="105"/>
      <c r="Z14" s="105"/>
    </row>
    <row r="15" spans="1:26" s="7" customFormat="1" ht="13.5">
      <c r="A15" s="89"/>
      <c r="B15" s="88"/>
      <c r="C15" s="93"/>
      <c r="D15" s="94"/>
      <c r="E15" s="94"/>
      <c r="F15" s="94"/>
      <c r="G15" s="94"/>
      <c r="H15" s="95"/>
      <c r="I15" s="93"/>
      <c r="J15" s="94"/>
      <c r="K15" s="94"/>
      <c r="L15" s="94"/>
      <c r="M15" s="94"/>
      <c r="N15" s="95"/>
      <c r="O15" s="102"/>
      <c r="P15" s="103"/>
      <c r="Q15" s="103"/>
      <c r="R15" s="103"/>
      <c r="S15" s="103"/>
      <c r="T15" s="104"/>
      <c r="U15" s="105"/>
      <c r="V15" s="105"/>
      <c r="W15" s="105"/>
      <c r="X15" s="105"/>
      <c r="Y15" s="105"/>
      <c r="Z15" s="105"/>
    </row>
    <row r="16" spans="1:26" s="57" customFormat="1" ht="17.25">
      <c r="A16" s="96">
        <v>1</v>
      </c>
      <c r="B16" s="58" t="s">
        <v>83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s="57" customFormat="1" ht="17.25">
      <c r="A17" s="97"/>
      <c r="B17" s="58" t="s">
        <v>84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s="57" customFormat="1" ht="17.25">
      <c r="A18" s="97"/>
      <c r="B18" s="58" t="s">
        <v>85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s="57" customFormat="1" ht="17.25">
      <c r="A19" s="97"/>
      <c r="B19" s="58" t="s">
        <v>86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s="57" customFormat="1" ht="17.25">
      <c r="A20" s="98"/>
      <c r="B20" s="58" t="s">
        <v>87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s="57" customFormat="1" ht="17.25">
      <c r="A21" s="55">
        <v>2</v>
      </c>
      <c r="B21" s="56" t="s">
        <v>88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s="57" customFormat="1" ht="17.25">
      <c r="A22" s="55">
        <v>3</v>
      </c>
      <c r="B22" s="56" t="s">
        <v>221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s="57" customFormat="1" ht="17.25">
      <c r="A23" s="55">
        <v>4</v>
      </c>
      <c r="B23" s="56" t="s">
        <v>222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s="7" customFormat="1" ht="13.5">
      <c r="A24" s="8"/>
      <c r="C24" s="106"/>
      <c r="D24" s="106"/>
      <c r="E24" s="106"/>
      <c r="F24" s="106"/>
    </row>
    <row r="25" spans="1:26" s="59" customFormat="1" ht="15">
      <c r="A25" s="60"/>
      <c r="L25" s="107"/>
      <c r="M25" s="107"/>
    </row>
    <row r="26" spans="1:26" s="7" customFormat="1" ht="13.5">
      <c r="A26" s="8"/>
      <c r="L26" s="106"/>
      <c r="M26" s="106"/>
    </row>
    <row r="27" spans="1:26" s="7" customFormat="1" ht="13.5">
      <c r="A27" s="8"/>
      <c r="L27" s="106"/>
      <c r="M27" s="106"/>
    </row>
    <row r="28" spans="1:26" s="7" customFormat="1" ht="13.5">
      <c r="A28" s="8"/>
      <c r="L28" s="106"/>
      <c r="M28" s="106"/>
    </row>
  </sheetData>
  <mergeCells count="57">
    <mergeCell ref="L25:M25"/>
    <mergeCell ref="L26:M26"/>
    <mergeCell ref="L27:M27"/>
    <mergeCell ref="L28:M28"/>
    <mergeCell ref="C23:H23"/>
    <mergeCell ref="I23:N23"/>
    <mergeCell ref="O23:T23"/>
    <mergeCell ref="U23:Z23"/>
    <mergeCell ref="C24:F24"/>
    <mergeCell ref="C21:H21"/>
    <mergeCell ref="I21:N21"/>
    <mergeCell ref="O21:T21"/>
    <mergeCell ref="U21:Z21"/>
    <mergeCell ref="C22:H22"/>
    <mergeCell ref="I22:N22"/>
    <mergeCell ref="O22:T22"/>
    <mergeCell ref="U22:Z22"/>
    <mergeCell ref="O14:T15"/>
    <mergeCell ref="U14:Z15"/>
    <mergeCell ref="U17:Z17"/>
    <mergeCell ref="C18:H18"/>
    <mergeCell ref="I18:N18"/>
    <mergeCell ref="O18:T18"/>
    <mergeCell ref="U18:Z18"/>
    <mergeCell ref="A16:A20"/>
    <mergeCell ref="C16:H16"/>
    <mergeCell ref="I16:N16"/>
    <mergeCell ref="O16:T16"/>
    <mergeCell ref="U16:Z16"/>
    <mergeCell ref="C17:H17"/>
    <mergeCell ref="I17:N17"/>
    <mergeCell ref="O17:T17"/>
    <mergeCell ref="C19:H19"/>
    <mergeCell ref="I19:N19"/>
    <mergeCell ref="O19:T19"/>
    <mergeCell ref="U19:Z19"/>
    <mergeCell ref="C20:H20"/>
    <mergeCell ref="I20:N20"/>
    <mergeCell ref="O20:T20"/>
    <mergeCell ref="U20:Z20"/>
    <mergeCell ref="B11:B13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7:J7"/>
    <mergeCell ref="G8:J8"/>
    <mergeCell ref="A9:B9"/>
    <mergeCell ref="G9:J9"/>
    <mergeCell ref="S9:V10"/>
    <mergeCell ref="D10:F10"/>
    <mergeCell ref="G10:J10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 8</vt:lpstr>
      <vt:lpstr>A2-QCถุง</vt:lpstr>
      <vt:lpstr>P2-QC กล่อง</vt:lpstr>
      <vt:lpstr>'ใบงาน Agilent_JOB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 Sirimanuwat</cp:lastModifiedBy>
  <cp:lastPrinted>2026-08-03T02:18:56Z</cp:lastPrinted>
  <dcterms:created xsi:type="dcterms:W3CDTF">2022-12-02T03:16:26Z</dcterms:created>
  <dcterms:modified xsi:type="dcterms:W3CDTF">2026-08-03T05:21:05Z</dcterms:modified>
</cp:coreProperties>
</file>