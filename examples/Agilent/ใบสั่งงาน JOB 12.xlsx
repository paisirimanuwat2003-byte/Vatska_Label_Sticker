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atska\software\examples\Agilent\"/>
    </mc:Choice>
  </mc:AlternateContent>
  <xr:revisionPtr revIDLastSave="0" documentId="13_ncr:1_{FEB4D017-9CA9-4654-830C-A7DAA15EB812}" xr6:coauthVersionLast="47" xr6:coauthVersionMax="47" xr10:uidLastSave="{00000000-0000-0000-0000-000000000000}"/>
  <bookViews>
    <workbookView xWindow="-108" yWindow="-108" windowWidth="30936" windowHeight="16776" tabRatio="958" activeTab="2" xr2:uid="{00000000-000D-0000-FFFF-FFFF00000000}"/>
  </bookViews>
  <sheets>
    <sheet name="ใบงาน Agilent_JOB 12" sheetId="1" r:id="rId1"/>
    <sheet name="A2-QC ถุง" sheetId="2" r:id="rId2"/>
    <sheet name="P2-QC กล่อง" sheetId="3" r:id="rId3"/>
  </sheets>
  <externalReferences>
    <externalReference r:id="rId4"/>
    <externalReference r:id="rId5"/>
  </externalReferences>
  <definedNames>
    <definedName name="_xlnm.Print_Area" localSheetId="0">'ใบงาน Agilent_JOB 12'!$A$1:$O$37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0" i="3" l="1"/>
  <c r="X8" i="3"/>
  <c r="G9" i="3"/>
  <c r="G8" i="3"/>
  <c r="B8" i="3"/>
  <c r="W7" i="3"/>
  <c r="G7" i="3"/>
  <c r="B10" i="2"/>
  <c r="G9" i="2"/>
  <c r="G8" i="2"/>
  <c r="B8" i="2"/>
  <c r="W7" i="2"/>
  <c r="G7" i="2"/>
  <c r="F30" i="1"/>
  <c r="D22" i="1"/>
  <c r="D21" i="1"/>
  <c r="E17" i="1" l="1"/>
  <c r="G17" i="1" s="1"/>
  <c r="H1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NGERNKONGKAEW, Siriprapha</author>
  </authors>
  <commentList>
    <comment ref="H47" authorId="0" shapeId="0" xr:uid="{00000000-0006-0000-0000-000001000000}">
      <text>
        <r>
          <rPr>
            <sz val="11"/>
            <color theme="1"/>
            <rFont val="Calibri"/>
            <family val="2"/>
            <charset val="222"/>
            <scheme val="minor"/>
          </rPr>
          <t>NGERNKONGKAEW, Siriprapha:
Change from 6 to 1</t>
        </r>
      </text>
    </comment>
  </commentList>
</comments>
</file>

<file path=xl/sharedStrings.xml><?xml version="1.0" encoding="utf-8"?>
<sst xmlns="http://schemas.openxmlformats.org/spreadsheetml/2006/main" count="354" uniqueCount="227">
  <si>
    <t xml:space="preserve">บริษัท แวตสก้า จำกัด/ Vatska Company Limited
53/2 ต. อ้อมเกร็ด อ. ปากเกร็ด จ. นนทบุรี 11120/ 53/2 T. Om-Kred A. Pakkred Nonthaburi 11120 Thailand
โทร. +662 9244161 อีเมล: sales@vatska.com/ Tel: +662 9244161 E-mail: sales@vatska.com </t>
  </si>
  <si>
    <t xml:space="preserve">ใบงานตัดสายยางและ บรรจุ  </t>
  </si>
  <si>
    <t>JOB 12</t>
  </si>
  <si>
    <t>วันที่</t>
  </si>
  <si>
    <t>Lot No:</t>
  </si>
  <si>
    <t>xxxx</t>
  </si>
  <si>
    <t>เลขที่ใบงาน RI</t>
  </si>
  <si>
    <t>AGA</t>
  </si>
  <si>
    <t>แผนก</t>
  </si>
  <si>
    <t>ผลิต (Production)</t>
  </si>
  <si>
    <t>MPN:</t>
  </si>
  <si>
    <t>K9801-60084</t>
  </si>
  <si>
    <t>จำนวนชุดที่ต้องการ</t>
  </si>
  <si>
    <t>ลูกค้า</t>
  </si>
  <si>
    <t>อาจิแลนจ์ (Agilent)</t>
  </si>
  <si>
    <t>Children PN:</t>
  </si>
  <si>
    <t>-</t>
  </si>
  <si>
    <t>Customer PO</t>
  </si>
  <si>
    <t>PO12345</t>
  </si>
  <si>
    <t>ABW00002</t>
  </si>
  <si>
    <t>OD/ID: 1/4"(6.3500mm) 1/8"(3.1750mm)</t>
  </si>
  <si>
    <t>OR CODE</t>
  </si>
  <si>
    <t>วัสดุที่เบิกใช้ในการตัดสายยาง</t>
  </si>
  <si>
    <t>ลำดับ</t>
  </si>
  <si>
    <t>รายละเอียด</t>
  </si>
  <si>
    <t>รุ่น</t>
  </si>
  <si>
    <t>จำนวน/ ชุด</t>
  </si>
  <si>
    <t>จำนวนสายยางที่เบิกเป็นมิลลิเมตร</t>
  </si>
  <si>
    <t>ควายยาวสายยาง(ฟุต)ต่อกล่อง</t>
  </si>
  <si>
    <t>จำนวนกล่องของสายยางที่เบิกทั้งหมด</t>
  </si>
  <si>
    <t>สายยาง</t>
  </si>
  <si>
    <t>แท่งพลาสติคเพื่อใช้ตัดสายยาง</t>
  </si>
  <si>
    <t>กล่องพลาสติคใส่สายยางพร้อมฝาปิดกันฝุ่น</t>
  </si>
  <si>
    <t>1 กล่อง</t>
  </si>
  <si>
    <t>แผ่นยางสำหรับกำจัดฝุ่น</t>
  </si>
  <si>
    <t>1 แผ่น</t>
  </si>
  <si>
    <t>ถุงพลาสติค M</t>
  </si>
  <si>
    <t>6x9 นิ้ว</t>
  </si>
  <si>
    <t>สติกเกอร์</t>
  </si>
  <si>
    <t>5 x 8 ซม</t>
  </si>
  <si>
    <t>ไม้บรรทัดเหล็ก</t>
  </si>
  <si>
    <t>ขนาด 60 เซนติเมตร</t>
  </si>
  <si>
    <t>1 อัน</t>
  </si>
  <si>
    <t>ถุงพลาสติค packing</t>
  </si>
  <si>
    <t>การตรวจสอบคุณภาพก่อนบรรจุ  / QC in process</t>
  </si>
  <si>
    <t>จำนวนสายยางที่ตัดได้(เส้น)</t>
  </si>
  <si>
    <t xml:space="preserve">ตารางเบิกสายยาง </t>
  </si>
  <si>
    <t>จำนวนที่ตรวจสอบความยาวของสายยาง (MM)</t>
  </si>
  <si>
    <t>ลายเซ็นต์</t>
  </si>
  <si>
    <t xml:space="preserve">วันที่ </t>
  </si>
  <si>
    <t>จำนวน/ม้วน</t>
  </si>
  <si>
    <t>Lot number ของสายยาง</t>
  </si>
  <si>
    <t>ความยาวที่ต้องการ</t>
  </si>
  <si>
    <t>จำนวนที่ผ่าน</t>
  </si>
  <si>
    <t>จำนวนที่ไม่ผ่าน</t>
  </si>
  <si>
    <t>Tubing, Bulk Fluid Bottle to Valve</t>
  </si>
  <si>
    <t>ABW00002/K9801-60084</t>
  </si>
  <si>
    <t>304.8-309.8</t>
  </si>
  <si>
    <t>การตรวจสอบคุณภาพการบรรจุ</t>
  </si>
  <si>
    <t>รายละเอียดสติกเกอร์</t>
  </si>
  <si>
    <t>รายละเอียดบนสติกเกอร์</t>
  </si>
  <si>
    <t>ขนาดถุง</t>
  </si>
  <si>
    <t>จำนวนสายยาง/ ถุง</t>
  </si>
  <si>
    <t>ความยาวที่รับได้</t>
  </si>
  <si>
    <t>Tolerance</t>
  </si>
  <si>
    <t>ความยาวสายยางที่สามารถยอมรับได้</t>
  </si>
  <si>
    <t>จำนวนที่ตรวจสอบรายละเอียดของถุงและสติกเกอร์บนถุง</t>
  </si>
  <si>
    <t>จำนวนที่ตรวจสอบความยาวของสายยาง</t>
  </si>
  <si>
    <t>P-06411-62</t>
  </si>
  <si>
    <t>M</t>
  </si>
  <si>
    <t>6 เส้น</t>
  </si>
  <si>
    <t>+5.00</t>
  </si>
  <si>
    <t/>
  </si>
  <si>
    <t xml:space="preserve">                 พนักงานตรวจสอบ </t>
  </si>
  <si>
    <t xml:space="preserve">บริษัท แวตสก้า จำกัด/ Vatska Company Limited
53/2 ต. อ้อมเกร็ด อ. ปากเกร็ด จ. นนทบุรี 11120/ 53/2 T. Om-Kred A. Pakkred 
Nonthaburi 11120 Thailand
โทร. +662 9244161 อีเมล: sales@vatska.com/ Tel: +662 9244161 E-mail: sales@vatska.com </t>
  </si>
  <si>
    <t xml:space="preserve">เอกสารตรวจสอบผลิตภัณฑ์ QC (Quality Control) </t>
  </si>
  <si>
    <t>Lot no</t>
  </si>
  <si>
    <t>MPN</t>
  </si>
  <si>
    <t>Children no.</t>
  </si>
  <si>
    <t>จำนวนถุงที่ผลิต</t>
  </si>
  <si>
    <t>QR CODE</t>
  </si>
  <si>
    <t>รายการการตรวจสอบ</t>
  </si>
  <si>
    <t>จำนวนที่สุ่ม 
( เส้น/ถุง)</t>
  </si>
  <si>
    <t>ลายเซ็นต์ผู้ตรวจสอบ</t>
  </si>
  <si>
    <t>ความถูกต้องของความยาวของสายยางว่าอยู่ภายในระยะที่กำหนด (ตามรายละเอียดแนบ)</t>
  </si>
  <si>
    <t>สติกเกอร์ (Label)</t>
  </si>
  <si>
    <t>ความถูกต้องของรหัสสินค้า (Part Number)</t>
  </si>
  <si>
    <t>ความถูกต้องของขนาดสายยาง (MPN)</t>
  </si>
  <si>
    <t>ความถูกต้องของวันเดือนปีที่ผลิต (DOM)</t>
  </si>
  <si>
    <t>ความถูกต้องของจำนวน / ถุง (QTY)</t>
  </si>
  <si>
    <t>ความสวยงานของการแพ็ค เช่น การซีลถุง</t>
  </si>
  <si>
    <t>ความสะอาดความสายยางภายในถุง</t>
  </si>
  <si>
    <t>ความสะอาดของถุงโดยรวม</t>
  </si>
  <si>
    <t>เมื่อ scan barcode ข้อมูลถูกต้อง</t>
  </si>
  <si>
    <t>จำนวนกลุ่มตัวอย่างที่สุ่ม QC</t>
  </si>
  <si>
    <t>สุ่มตรวจ 10 % ของจำนวนสายยาง</t>
  </si>
  <si>
    <t>จำนวนสุ่มสายยาง QC</t>
  </si>
  <si>
    <t>จำนวนสุ่มถุงบรรจุ QC</t>
  </si>
  <si>
    <t>จำนวนตัวอย่างสุ่ม 1-100</t>
  </si>
  <si>
    <t>จำนวนตัวอย่างสุ่ม 100-200</t>
  </si>
  <si>
    <t>จำนวนตัวอย่างสุ่ม 200-300</t>
  </si>
  <si>
    <t>จำนวนตัวอย่างสุ่ม 300-400</t>
  </si>
  <si>
    <t>จำนวนตัวอย่างสุ่ม 400-500</t>
  </si>
  <si>
    <t>จำนวนตัวอย่างสุ่ม 500-1000</t>
  </si>
  <si>
    <t>จำนวนตัวอย่างสุ่ม 1000-2000</t>
  </si>
  <si>
    <t>จำนวนตัวอย่างสุ่มมากว่า 1000</t>
  </si>
  <si>
    <t>คิดเป็น 10% ของจำนวนทั้งหมด</t>
  </si>
  <si>
    <t>รายการ</t>
  </si>
  <si>
    <t>JOB NUMBER</t>
  </si>
  <si>
    <t>เกณฑ์ระยะความยาวของสายยางที่ยอมรับได้</t>
  </si>
  <si>
    <t>Model</t>
  </si>
  <si>
    <t>Part number</t>
  </si>
  <si>
    <t>QTY/ bag</t>
  </si>
  <si>
    <t>1
K9801-60098</t>
  </si>
  <si>
    <t>job 1.1</t>
  </si>
  <si>
    <t>152.4 -157.4</t>
  </si>
  <si>
    <t>ABW00007</t>
  </si>
  <si>
    <t>K9801-60079</t>
  </si>
  <si>
    <t>job 1.2</t>
  </si>
  <si>
    <t>558.8 -563.8</t>
  </si>
  <si>
    <t>K9801-60080</t>
  </si>
  <si>
    <t>job 1.3</t>
  </si>
  <si>
    <t>57.15 -58.15</t>
  </si>
  <si>
    <t>ABW00017</t>
  </si>
  <si>
    <t>K9801-60081</t>
  </si>
  <si>
    <t>job 1.4</t>
  </si>
  <si>
    <t>107 -108</t>
  </si>
  <si>
    <t>job 1.5</t>
  </si>
  <si>
    <t>762 -767</t>
  </si>
  <si>
    <t>K9801-60085</t>
  </si>
  <si>
    <t>2 
K9801-60099</t>
  </si>
  <si>
    <t>job 2.1</t>
  </si>
  <si>
    <t>55.34 -55.84</t>
  </si>
  <si>
    <t>ABW00019</t>
  </si>
  <si>
    <t>K9801-60082</t>
  </si>
  <si>
    <t>job 2.2</t>
  </si>
  <si>
    <t>119.82 -120.82</t>
  </si>
  <si>
    <t>STHT-C-125-4F</t>
  </si>
  <si>
    <t>K9801-60083</t>
  </si>
  <si>
    <t>3
K9801-60100</t>
  </si>
  <si>
    <t>job 3.1</t>
  </si>
  <si>
    <t>254 -259</t>
  </si>
  <si>
    <t>ABW00018</t>
  </si>
  <si>
    <t>K9801-60092</t>
  </si>
  <si>
    <t>job 3.2</t>
  </si>
  <si>
    <t>44.45 -45.45</t>
  </si>
  <si>
    <t>K9801-60093</t>
  </si>
  <si>
    <t>job 3.3</t>
  </si>
  <si>
    <t>349.25 -354.25</t>
  </si>
  <si>
    <t>K9801-60095</t>
  </si>
  <si>
    <t>job 3.4</t>
  </si>
  <si>
    <t>50.8 -55.8</t>
  </si>
  <si>
    <t>K9801-60096</t>
  </si>
  <si>
    <t>4
K9801-60102</t>
  </si>
  <si>
    <t>job 4.1</t>
  </si>
  <si>
    <t>584.2 -589.2</t>
  </si>
  <si>
    <t>ABW00012</t>
  </si>
  <si>
    <t>K9801-60086</t>
  </si>
  <si>
    <t>job 4.2</t>
  </si>
  <si>
    <t>381 -386</t>
  </si>
  <si>
    <t>K9801-60087</t>
  </si>
  <si>
    <t>job 4.3</t>
  </si>
  <si>
    <t>330.2 -335.2</t>
  </si>
  <si>
    <t>K9801-60088</t>
  </si>
  <si>
    <t>job 4.4</t>
  </si>
  <si>
    <t>228.6 -233.6</t>
  </si>
  <si>
    <t>K9801-60089</t>
  </si>
  <si>
    <t>job 4.5</t>
  </si>
  <si>
    <t>203.2 -208.2</t>
  </si>
  <si>
    <t>K9801-60090</t>
  </si>
  <si>
    <t>5 (K9801-60091)</t>
  </si>
  <si>
    <t>job 5</t>
  </si>
  <si>
    <t>609.6 -614.6</t>
  </si>
  <si>
    <t>K9801-60091</t>
  </si>
  <si>
    <t>6(K9801-60097)</t>
  </si>
  <si>
    <t>job 6</t>
  </si>
  <si>
    <t>K9801-60097</t>
  </si>
  <si>
    <t>7(K9801-60114)</t>
  </si>
  <si>
    <t>job 7.1</t>
  </si>
  <si>
    <t>job 7.2</t>
  </si>
  <si>
    <t>330.2 -335.5</t>
  </si>
  <si>
    <t>K9801-60116</t>
  </si>
  <si>
    <t>8(K9801-60085)</t>
  </si>
  <si>
    <t>job 8</t>
  </si>
  <si>
    <t>9(K9801-60086)</t>
  </si>
  <si>
    <t>job 9</t>
  </si>
  <si>
    <t>10(K9801-60094)</t>
  </si>
  <si>
    <t>job 10</t>
  </si>
  <si>
    <t>K9801-60094</t>
  </si>
  <si>
    <t>11(K9801-60095)</t>
  </si>
  <si>
    <t>job 11</t>
  </si>
  <si>
    <t>12(K9801-60084)</t>
  </si>
  <si>
    <t>job 12</t>
  </si>
  <si>
    <t>304.8 -309.8</t>
  </si>
  <si>
    <t>job 13.1</t>
  </si>
  <si>
    <t>152.4-157.4</t>
  </si>
  <si>
    <t>job 13.2</t>
  </si>
  <si>
    <t>558.8-563.8</t>
  </si>
  <si>
    <t>job 13.3</t>
  </si>
  <si>
    <t>57.17-58.15</t>
  </si>
  <si>
    <t>job 13.4</t>
  </si>
  <si>
    <t>job 13.5</t>
  </si>
  <si>
    <t>762-767</t>
  </si>
  <si>
    <t>job 14.1</t>
  </si>
  <si>
    <t>254-259</t>
  </si>
  <si>
    <t>job 14.2</t>
  </si>
  <si>
    <t>44.45-45.45</t>
  </si>
  <si>
    <t>job 14.3</t>
  </si>
  <si>
    <t>349.25-354.25</t>
  </si>
  <si>
    <t>job 14.4</t>
  </si>
  <si>
    <t>50.9-55.8</t>
  </si>
  <si>
    <t>job 15.1</t>
  </si>
  <si>
    <t>584.2-589.2</t>
  </si>
  <si>
    <t>job 15.2</t>
  </si>
  <si>
    <t>381-386</t>
  </si>
  <si>
    <t>job 15.3</t>
  </si>
  <si>
    <t>330.2-335.2</t>
  </si>
  <si>
    <t>job 15.4</t>
  </si>
  <si>
    <t>228.6-233.6</t>
  </si>
  <si>
    <t>job 15.5</t>
  </si>
  <si>
    <t>203.2-208.2</t>
  </si>
  <si>
    <t>เอกสารตรวจสอบผลิตภัณฑ์ QC (Quality Control) สำหรับบรรจุ</t>
  </si>
  <si>
    <t>CUSTOMER PO</t>
  </si>
  <si>
    <t>จำนวนกล่อง</t>
  </si>
  <si>
    <t>BAR CODE</t>
  </si>
  <si>
    <t>ความสะอาดความสายยางภายในกล่อง</t>
  </si>
  <si>
    <t>เมื่อ scan QR code ข้อมูลถูกต้อง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</si>
</sst>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24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16"/>
      <color theme="1"/>
      <name val="Arial"/>
      <family val="2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b/>
      <sz val="16"/>
      <color theme="1"/>
      <name val="Angsana New"/>
      <family val="1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8"/>
      <color theme="1"/>
      <name val="Angsana New"/>
      <family val="1"/>
    </font>
    <font>
      <sz val="9"/>
      <color theme="1"/>
      <name val="Angsana New"/>
      <family val="1"/>
    </font>
    <font>
      <sz val="24"/>
      <color theme="1"/>
      <name val="Arial"/>
      <family val="2"/>
    </font>
    <font>
      <sz val="14"/>
      <color theme="1"/>
      <name val="Arial"/>
      <family val="2"/>
    </font>
    <font>
      <b/>
      <sz val="11"/>
      <color theme="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rgb="FF0000FF"/>
      <name val="Arial"/>
      <family val="2"/>
    </font>
    <font>
      <sz val="11"/>
      <color theme="1"/>
      <name val="Angsana New"/>
      <family val="1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164" fontId="1" fillId="0" borderId="0"/>
    <xf numFmtId="164" fontId="2" fillId="0" borderId="0"/>
  </cellStyleXfs>
  <cellXfs count="146">
    <xf numFmtId="0" fontId="0" fillId="0" borderId="0" xfId="0"/>
    <xf numFmtId="14" fontId="10" fillId="5" borderId="7" xfId="0" applyNumberFormat="1" applyFont="1" applyFill="1" applyBorder="1" applyProtection="1">
      <protection locked="0"/>
    </xf>
    <xf numFmtId="0" fontId="10" fillId="5" borderId="7" xfId="0" applyFont="1" applyFill="1" applyBorder="1" applyAlignment="1" applyProtection="1">
      <alignment horizontal="center"/>
      <protection locked="0"/>
    </xf>
    <xf numFmtId="0" fontId="7" fillId="5" borderId="7" xfId="0" applyFont="1" applyFill="1" applyBorder="1" applyProtection="1">
      <protection locked="0"/>
    </xf>
    <xf numFmtId="0" fontId="7" fillId="5" borderId="0" xfId="0" applyFont="1" applyFill="1" applyProtection="1">
      <protection locked="0"/>
    </xf>
    <xf numFmtId="0" fontId="7" fillId="5" borderId="0" xfId="0" applyFont="1" applyFill="1" applyAlignment="1" applyProtection="1">
      <alignment horizontal="center"/>
      <protection locked="0"/>
    </xf>
    <xf numFmtId="0" fontId="7" fillId="4" borderId="1" xfId="0" applyFont="1" applyFill="1" applyBorder="1" applyAlignment="1" applyProtection="1">
      <alignment vertical="center"/>
      <protection locked="0"/>
    </xf>
    <xf numFmtId="0" fontId="7" fillId="4" borderId="1" xfId="0" applyFont="1" applyFill="1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0" fontId="7" fillId="4" borderId="1" xfId="0" applyFont="1" applyFill="1" applyBorder="1" applyAlignment="1" applyProtection="1">
      <alignment horizontal="center" vertical="center" wrapText="1"/>
      <protection locked="0"/>
    </xf>
    <xf numFmtId="0" fontId="0" fillId="0" borderId="3" xfId="0" applyBorder="1" applyProtection="1">
      <protection locked="0"/>
    </xf>
    <xf numFmtId="0" fontId="14" fillId="0" borderId="0" xfId="0" applyFont="1" applyAlignment="1" applyProtection="1">
      <alignment horizontal="center" vertical="top" wrapText="1"/>
    </xf>
    <xf numFmtId="0" fontId="0" fillId="0" borderId="0" xfId="0" applyProtection="1"/>
    <xf numFmtId="0" fontId="15" fillId="0" borderId="0" xfId="0" applyFont="1" applyProtection="1"/>
    <xf numFmtId="0" fontId="0" fillId="0" borderId="0" xfId="0" applyProtection="1"/>
    <xf numFmtId="0" fontId="16" fillId="0" borderId="0" xfId="0" applyFont="1" applyAlignment="1" applyProtection="1">
      <alignment horizontal="center" vertical="center"/>
    </xf>
    <xf numFmtId="0" fontId="7" fillId="0" borderId="0" xfId="0" applyFont="1" applyAlignment="1" applyProtection="1">
      <alignment horizontal="left" vertical="center"/>
    </xf>
    <xf numFmtId="0" fontId="7" fillId="0" borderId="0" xfId="0" applyFont="1" applyAlignment="1" applyProtection="1">
      <alignment horizontal="left" vertical="center"/>
    </xf>
    <xf numFmtId="0" fontId="7" fillId="0" borderId="0" xfId="0" applyFont="1" applyAlignment="1" applyProtection="1">
      <alignment horizontal="center" vertical="center"/>
    </xf>
    <xf numFmtId="0" fontId="7" fillId="0" borderId="0" xfId="0" applyFont="1" applyAlignment="1" applyProtection="1">
      <alignment horizontal="center" vertical="center"/>
    </xf>
    <xf numFmtId="0" fontId="17" fillId="0" borderId="0" xfId="0" applyFont="1" applyAlignment="1" applyProtection="1">
      <alignment horizontal="left" vertical="center"/>
    </xf>
    <xf numFmtId="0" fontId="7" fillId="2" borderId="7" xfId="0" applyFont="1" applyFill="1" applyBorder="1" applyProtection="1"/>
    <xf numFmtId="0" fontId="7" fillId="2" borderId="0" xfId="0" applyFont="1" applyFill="1" applyProtection="1"/>
    <xf numFmtId="0" fontId="7" fillId="0" borderId="0" xfId="0" applyFont="1" applyProtection="1"/>
    <xf numFmtId="0" fontId="7" fillId="2" borderId="0" xfId="0" applyFont="1" applyFill="1" applyAlignment="1" applyProtection="1">
      <alignment horizontal="center"/>
    </xf>
    <xf numFmtId="0" fontId="7" fillId="2" borderId="0" xfId="0" applyFont="1" applyFill="1" applyAlignment="1" applyProtection="1">
      <alignment horizontal="left"/>
    </xf>
    <xf numFmtId="0" fontId="7" fillId="2" borderId="0" xfId="0" applyFont="1" applyFill="1" applyAlignment="1" applyProtection="1">
      <alignment horizontal="center"/>
    </xf>
    <xf numFmtId="0" fontId="7" fillId="0" borderId="0" xfId="0" applyFont="1" applyAlignment="1" applyProtection="1">
      <alignment horizontal="left"/>
    </xf>
    <xf numFmtId="0" fontId="7" fillId="2" borderId="0" xfId="0" applyFont="1" applyFill="1" applyAlignment="1" applyProtection="1">
      <alignment horizontal="left" vertical="center"/>
    </xf>
    <xf numFmtId="0" fontId="7" fillId="2" borderId="0" xfId="0" applyFont="1" applyFill="1" applyAlignment="1" applyProtection="1">
      <alignment horizontal="center" vertical="center"/>
    </xf>
    <xf numFmtId="0" fontId="7" fillId="0" borderId="7" xfId="0" applyFont="1" applyBorder="1" applyAlignment="1" applyProtection="1">
      <alignment horizontal="center" vertical="center"/>
    </xf>
    <xf numFmtId="0" fontId="18" fillId="6" borderId="0" xfId="0" applyFont="1" applyFill="1" applyAlignment="1" applyProtection="1">
      <alignment horizontal="center" vertical="center"/>
    </xf>
    <xf numFmtId="0" fontId="0" fillId="0" borderId="7" xfId="0" applyBorder="1" applyProtection="1"/>
    <xf numFmtId="0" fontId="3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wrapText="1"/>
    </xf>
    <xf numFmtId="0" fontId="0" fillId="0" borderId="4" xfId="0" applyBorder="1" applyProtection="1"/>
    <xf numFmtId="0" fontId="0" fillId="0" borderId="5" xfId="0" applyBorder="1" applyProtection="1"/>
    <xf numFmtId="0" fontId="3" fillId="0" borderId="1" xfId="0" applyFont="1" applyBorder="1" applyAlignment="1" applyProtection="1">
      <alignment horizontal="center"/>
    </xf>
    <xf numFmtId="0" fontId="0" fillId="0" borderId="6" xfId="0" applyBorder="1" applyProtection="1"/>
    <xf numFmtId="0" fontId="0" fillId="0" borderId="9" xfId="0" applyBorder="1" applyProtection="1"/>
    <xf numFmtId="0" fontId="0" fillId="0" borderId="8" xfId="0" applyBorder="1" applyProtection="1"/>
    <xf numFmtId="0" fontId="17" fillId="2" borderId="1" xfId="0" applyFont="1" applyFill="1" applyBorder="1" applyAlignment="1" applyProtection="1">
      <alignment horizontal="center" vertical="center"/>
    </xf>
    <xf numFmtId="0" fontId="17" fillId="0" borderId="13" xfId="0" applyFont="1" applyBorder="1" applyAlignment="1" applyProtection="1">
      <alignment horizontal="left" vertical="center" wrapText="1"/>
    </xf>
    <xf numFmtId="0" fontId="17" fillId="0" borderId="1" xfId="0" applyFont="1" applyBorder="1" applyAlignment="1" applyProtection="1">
      <alignment horizontal="center"/>
    </xf>
    <xf numFmtId="0" fontId="0" fillId="0" borderId="11" xfId="0" applyBorder="1" applyProtection="1"/>
    <xf numFmtId="0" fontId="0" fillId="0" borderId="13" xfId="0" applyBorder="1" applyProtection="1"/>
    <xf numFmtId="0" fontId="17" fillId="0" borderId="0" xfId="0" applyFont="1" applyProtection="1"/>
    <xf numFmtId="0" fontId="0" fillId="0" borderId="3" xfId="0" applyBorder="1" applyProtection="1"/>
    <xf numFmtId="0" fontId="17" fillId="0" borderId="1" xfId="0" applyFont="1" applyBorder="1" applyAlignment="1" applyProtection="1">
      <alignment horizontal="center" vertical="center"/>
    </xf>
    <xf numFmtId="0" fontId="17" fillId="0" borderId="1" xfId="0" applyFont="1" applyBorder="1" applyAlignment="1" applyProtection="1">
      <alignment horizontal="left" vertical="center" wrapText="1"/>
    </xf>
    <xf numFmtId="0" fontId="7" fillId="0" borderId="0" xfId="0" applyFont="1" applyAlignment="1" applyProtection="1">
      <alignment horizontal="center"/>
    </xf>
    <xf numFmtId="0" fontId="7" fillId="0" borderId="0" xfId="0" applyFont="1" applyAlignment="1" applyProtection="1">
      <alignment horizontal="center"/>
    </xf>
    <xf numFmtId="0" fontId="20" fillId="0" borderId="0" xfId="0" applyFont="1" applyAlignment="1" applyProtection="1">
      <alignment horizontal="center"/>
    </xf>
    <xf numFmtId="0" fontId="20" fillId="0" borderId="0" xfId="0" applyFont="1" applyAlignment="1" applyProtection="1">
      <alignment horizontal="center"/>
    </xf>
    <xf numFmtId="0" fontId="20" fillId="0" borderId="0" xfId="0" applyFont="1" applyProtection="1"/>
    <xf numFmtId="0" fontId="7" fillId="5" borderId="7" xfId="0" applyFont="1" applyFill="1" applyBorder="1" applyProtection="1"/>
    <xf numFmtId="165" fontId="7" fillId="0" borderId="0" xfId="3" applyNumberFormat="1" applyFont="1" applyAlignment="1" applyProtection="1">
      <alignment horizontal="center" vertical="center"/>
    </xf>
    <xf numFmtId="0" fontId="7" fillId="0" borderId="0" xfId="0" applyFont="1" applyAlignment="1" applyProtection="1">
      <alignment vertical="center"/>
    </xf>
    <xf numFmtId="0" fontId="19" fillId="0" borderId="1" xfId="0" applyFont="1" applyBorder="1" applyAlignment="1" applyProtection="1">
      <alignment horizontal="center"/>
    </xf>
    <xf numFmtId="0" fontId="20" fillId="0" borderId="1" xfId="0" applyFont="1" applyBorder="1" applyAlignment="1" applyProtection="1">
      <alignment horizontal="left"/>
    </xf>
    <xf numFmtId="0" fontId="20" fillId="0" borderId="1" xfId="0" applyFont="1" applyBorder="1" applyAlignment="1" applyProtection="1">
      <alignment horizontal="center" wrapText="1"/>
    </xf>
    <xf numFmtId="0" fontId="20" fillId="0" borderId="1" xfId="0" applyFont="1" applyBorder="1" applyAlignment="1" applyProtection="1">
      <alignment horizontal="center"/>
    </xf>
    <xf numFmtId="0" fontId="7" fillId="2" borderId="1" xfId="0" applyFont="1" applyFill="1" applyBorder="1" applyAlignment="1" applyProtection="1">
      <alignment horizontal="center"/>
    </xf>
    <xf numFmtId="0" fontId="7" fillId="0" borderId="1" xfId="0" applyFont="1" applyBorder="1" applyAlignment="1" applyProtection="1">
      <alignment horizontal="center"/>
    </xf>
    <xf numFmtId="0" fontId="7" fillId="0" borderId="1" xfId="0" applyFont="1" applyBorder="1" applyAlignment="1" applyProtection="1">
      <alignment horizontal="center" wrapText="1"/>
    </xf>
    <xf numFmtId="0" fontId="7" fillId="0" borderId="1" xfId="0" applyFont="1" applyBorder="1" applyAlignment="1" applyProtection="1">
      <alignment horizontal="center"/>
    </xf>
    <xf numFmtId="0" fontId="7" fillId="0" borderId="13" xfId="0" applyFont="1" applyBorder="1" applyAlignment="1" applyProtection="1">
      <alignment horizontal="center"/>
    </xf>
    <xf numFmtId="0" fontId="7" fillId="2" borderId="1" xfId="0" applyFont="1" applyFill="1" applyBorder="1" applyAlignment="1" applyProtection="1">
      <alignment horizontal="center" wrapText="1"/>
    </xf>
    <xf numFmtId="0" fontId="7" fillId="2" borderId="1" xfId="0" applyFont="1" applyFill="1" applyBorder="1" applyAlignment="1" applyProtection="1">
      <alignment horizontal="center" vertical="center"/>
    </xf>
    <xf numFmtId="0" fontId="7" fillId="2" borderId="1" xfId="0" applyFont="1" applyFill="1" applyBorder="1" applyAlignment="1" applyProtection="1">
      <alignment horizontal="center"/>
    </xf>
    <xf numFmtId="0" fontId="8" fillId="2" borderId="13" xfId="0" applyFont="1" applyFill="1" applyBorder="1" applyAlignment="1" applyProtection="1">
      <alignment horizontal="center" vertical="center" wrapText="1"/>
    </xf>
    <xf numFmtId="0" fontId="0" fillId="0" borderId="14" xfId="0" applyBorder="1" applyProtection="1"/>
    <xf numFmtId="0" fontId="8" fillId="2" borderId="13" xfId="0" applyFont="1" applyFill="1" applyBorder="1" applyAlignment="1" applyProtection="1">
      <alignment horizontal="center" vertical="top" wrapText="1"/>
    </xf>
    <xf numFmtId="0" fontId="12" fillId="2" borderId="1" xfId="0" applyFont="1" applyFill="1" applyBorder="1" applyAlignment="1" applyProtection="1">
      <alignment horizontal="center" vertical="center" wrapText="1"/>
    </xf>
    <xf numFmtId="0" fontId="12" fillId="2" borderId="1" xfId="0" applyFont="1" applyFill="1" applyBorder="1" applyAlignment="1" applyProtection="1">
      <alignment horizontal="center" vertical="top" wrapText="1"/>
    </xf>
    <xf numFmtId="0" fontId="7" fillId="2" borderId="1" xfId="0" quotePrefix="1" applyFont="1" applyFill="1" applyBorder="1" applyAlignment="1" applyProtection="1">
      <alignment horizontal="center"/>
    </xf>
    <xf numFmtId="0" fontId="9" fillId="2" borderId="1" xfId="0" applyFont="1" applyFill="1" applyBorder="1" applyAlignment="1" applyProtection="1">
      <alignment horizontal="center"/>
    </xf>
    <xf numFmtId="0" fontId="7" fillId="2" borderId="1" xfId="0" applyFont="1" applyFill="1" applyBorder="1" applyAlignment="1" applyProtection="1">
      <alignment horizontal="center" vertical="center"/>
    </xf>
    <xf numFmtId="0" fontId="21" fillId="2" borderId="1" xfId="0" applyFont="1" applyFill="1" applyBorder="1" applyAlignment="1" applyProtection="1">
      <alignment horizontal="center" vertical="center" wrapText="1"/>
    </xf>
    <xf numFmtId="0" fontId="7" fillId="0" borderId="4" xfId="0" applyFont="1" applyBorder="1" applyAlignment="1" applyProtection="1">
      <alignment horizontal="center"/>
    </xf>
    <xf numFmtId="0" fontId="22" fillId="0" borderId="0" xfId="0" applyFont="1" applyAlignment="1" applyProtection="1">
      <alignment horizontal="center"/>
    </xf>
    <xf numFmtId="0" fontId="22" fillId="0" borderId="0" xfId="0" applyFont="1" applyProtection="1"/>
    <xf numFmtId="0" fontId="0" fillId="0" borderId="0" xfId="0" applyAlignment="1" applyProtection="1">
      <alignment horizontal="center"/>
    </xf>
    <xf numFmtId="0" fontId="11" fillId="0" borderId="0" xfId="0" applyFont="1" applyAlignment="1" applyProtection="1">
      <alignment horizontal="center" vertical="top" wrapText="1"/>
    </xf>
    <xf numFmtId="0" fontId="4" fillId="0" borderId="0" xfId="0" applyFont="1" applyProtection="1"/>
    <xf numFmtId="0" fontId="5" fillId="0" borderId="0" xfId="0" applyFont="1" applyProtection="1"/>
    <xf numFmtId="0" fontId="6" fillId="0" borderId="0" xfId="0" applyFont="1" applyProtection="1"/>
    <xf numFmtId="0" fontId="7" fillId="0" borderId="7" xfId="0" applyFont="1" applyBorder="1" applyProtection="1"/>
    <xf numFmtId="0" fontId="10" fillId="5" borderId="7" xfId="0" applyFont="1" applyFill="1" applyBorder="1" applyAlignment="1" applyProtection="1">
      <alignment horizontal="center"/>
    </xf>
    <xf numFmtId="0" fontId="10" fillId="2" borderId="0" xfId="0" applyFont="1" applyFill="1" applyBorder="1" applyProtection="1"/>
    <xf numFmtId="0" fontId="12" fillId="2" borderId="0" xfId="0" applyFont="1" applyFill="1" applyAlignment="1" applyProtection="1">
      <alignment horizontal="left" vertical="center"/>
    </xf>
    <xf numFmtId="165" fontId="7" fillId="2" borderId="0" xfId="3" applyNumberFormat="1" applyFont="1" applyFill="1" applyBorder="1" applyAlignment="1" applyProtection="1">
      <alignment horizontal="center" vertical="center"/>
    </xf>
    <xf numFmtId="0" fontId="13" fillId="2" borderId="0" xfId="0" applyFont="1" applyFill="1" applyProtection="1"/>
    <xf numFmtId="0" fontId="7" fillId="2" borderId="0" xfId="0" applyFont="1" applyFill="1" applyBorder="1" applyAlignment="1" applyProtection="1">
      <alignment horizontal="center"/>
    </xf>
    <xf numFmtId="0" fontId="7" fillId="4" borderId="0" xfId="0" applyFont="1" applyFill="1" applyAlignment="1" applyProtection="1">
      <alignment vertical="center"/>
    </xf>
    <xf numFmtId="0" fontId="7" fillId="4" borderId="0" xfId="0" applyFont="1" applyFill="1" applyAlignment="1" applyProtection="1">
      <alignment horizontal="center" vertical="center"/>
    </xf>
    <xf numFmtId="0" fontId="3" fillId="0" borderId="0" xfId="0" applyFont="1" applyAlignment="1" applyProtection="1">
      <alignment horizontal="left" vertical="center"/>
    </xf>
    <xf numFmtId="0" fontId="23" fillId="0" borderId="1" xfId="0" applyFont="1" applyBorder="1" applyAlignment="1" applyProtection="1">
      <alignment horizontal="center" vertical="center"/>
    </xf>
    <xf numFmtId="0" fontId="13" fillId="0" borderId="1" xfId="0" applyFont="1" applyBorder="1" applyAlignment="1" applyProtection="1">
      <alignment horizontal="center" vertical="center" wrapText="1"/>
    </xf>
    <xf numFmtId="0" fontId="23" fillId="0" borderId="12" xfId="0" applyFont="1" applyBorder="1" applyAlignment="1" applyProtection="1">
      <alignment horizontal="center" vertical="center" wrapText="1"/>
    </xf>
    <xf numFmtId="0" fontId="23" fillId="0" borderId="1" xfId="0" applyFont="1" applyBorder="1" applyAlignment="1" applyProtection="1">
      <alignment horizontal="center" vertical="center" wrapText="1"/>
    </xf>
    <xf numFmtId="0" fontId="23" fillId="0" borderId="2" xfId="0" applyFont="1" applyBorder="1" applyAlignment="1" applyProtection="1">
      <alignment horizontal="right" vertical="center" wrapText="1"/>
    </xf>
    <xf numFmtId="0" fontId="23" fillId="0" borderId="0" xfId="0" applyFont="1" applyAlignment="1" applyProtection="1">
      <alignment vertical="center"/>
    </xf>
    <xf numFmtId="0" fontId="23" fillId="0" borderId="0" xfId="0" applyFont="1" applyAlignment="1" applyProtection="1">
      <alignment horizontal="center" vertical="center"/>
    </xf>
    <xf numFmtId="0" fontId="13" fillId="0" borderId="0" xfId="0" applyFont="1" applyAlignment="1" applyProtection="1">
      <alignment vertical="center"/>
    </xf>
    <xf numFmtId="0" fontId="8" fillId="2" borderId="2" xfId="0" applyFont="1" applyFill="1" applyBorder="1" applyAlignment="1" applyProtection="1">
      <alignment horizontal="center" vertical="center"/>
    </xf>
    <xf numFmtId="0" fontId="7" fillId="4" borderId="1" xfId="0" applyFont="1" applyFill="1" applyBorder="1" applyAlignment="1" applyProtection="1">
      <alignment horizontal="left" vertical="center"/>
    </xf>
    <xf numFmtId="0" fontId="7" fillId="4" borderId="1" xfId="0" applyFont="1" applyFill="1" applyBorder="1" applyAlignment="1" applyProtection="1">
      <alignment vertical="center"/>
    </xf>
    <xf numFmtId="0" fontId="7" fillId="4" borderId="1" xfId="0" applyFont="1" applyFill="1" applyBorder="1" applyAlignment="1" applyProtection="1">
      <alignment horizontal="center" vertical="center"/>
    </xf>
    <xf numFmtId="164" fontId="7" fillId="2" borderId="1" xfId="3" applyFont="1" applyFill="1" applyBorder="1" applyAlignment="1" applyProtection="1">
      <alignment horizontal="right" vertical="center"/>
    </xf>
    <xf numFmtId="164" fontId="7" fillId="3" borderId="1" xfId="0" applyNumberFormat="1" applyFont="1" applyFill="1" applyBorder="1" applyAlignment="1" applyProtection="1">
      <alignment vertical="center"/>
    </xf>
    <xf numFmtId="0" fontId="7" fillId="0" borderId="1" xfId="0" applyFont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vertical="center"/>
    </xf>
    <xf numFmtId="0" fontId="3" fillId="0" borderId="0" xfId="0" applyFont="1" applyProtection="1"/>
    <xf numFmtId="0" fontId="3" fillId="0" borderId="0" xfId="0" applyFont="1" applyAlignment="1" applyProtection="1">
      <alignment horizontal="left"/>
    </xf>
    <xf numFmtId="0" fontId="23" fillId="0" borderId="1" xfId="0" applyFont="1" applyBorder="1" applyAlignment="1" applyProtection="1">
      <alignment horizontal="center" vertical="center"/>
    </xf>
    <xf numFmtId="0" fontId="23" fillId="0" borderId="1" xfId="0" applyFont="1" applyBorder="1" applyAlignment="1" applyProtection="1">
      <alignment horizontal="right" vertical="center" wrapText="1"/>
    </xf>
    <xf numFmtId="0" fontId="13" fillId="0" borderId="0" xfId="0" applyFont="1" applyProtection="1"/>
    <xf numFmtId="0" fontId="23" fillId="0" borderId="1" xfId="0" applyFont="1" applyBorder="1" applyAlignment="1" applyProtection="1">
      <alignment horizontal="center" vertical="center" wrapText="1"/>
    </xf>
    <xf numFmtId="0" fontId="23" fillId="0" borderId="12" xfId="0" applyFont="1" applyBorder="1" applyAlignment="1" applyProtection="1">
      <alignment horizontal="center" vertical="center" wrapText="1"/>
    </xf>
    <xf numFmtId="0" fontId="8" fillId="2" borderId="1" xfId="0" applyFont="1" applyFill="1" applyBorder="1" applyAlignment="1" applyProtection="1">
      <alignment horizontal="center" vertical="center"/>
    </xf>
    <xf numFmtId="0" fontId="9" fillId="4" borderId="1" xfId="0" applyFont="1" applyFill="1" applyBorder="1" applyAlignment="1" applyProtection="1">
      <alignment horizontal="center" vertical="center"/>
    </xf>
    <xf numFmtId="0" fontId="7" fillId="3" borderId="1" xfId="0" applyFont="1" applyFill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right" vertical="center"/>
    </xf>
    <xf numFmtId="0" fontId="7" fillId="0" borderId="12" xfId="0" applyFont="1" applyBorder="1" applyAlignment="1" applyProtection="1">
      <alignment horizontal="right" vertical="center"/>
    </xf>
    <xf numFmtId="0" fontId="7" fillId="0" borderId="0" xfId="0" applyFont="1" applyAlignment="1" applyProtection="1">
      <alignment horizontal="right" vertical="center"/>
    </xf>
    <xf numFmtId="0" fontId="3" fillId="0" borderId="12" xfId="0" applyFont="1" applyBorder="1" applyAlignment="1" applyProtection="1">
      <alignment horizontal="center" vertical="center" wrapText="1"/>
    </xf>
    <xf numFmtId="0" fontId="3" fillId="0" borderId="4" xfId="0" applyFont="1" applyBorder="1" applyAlignment="1" applyProtection="1">
      <alignment vertical="center"/>
    </xf>
    <xf numFmtId="0" fontId="3" fillId="0" borderId="1" xfId="0" applyFont="1" applyBorder="1" applyAlignment="1" applyProtection="1">
      <alignment horizontal="center" vertical="center" wrapText="1"/>
    </xf>
    <xf numFmtId="0" fontId="3" fillId="0" borderId="0" xfId="0" applyFont="1" applyAlignment="1" applyProtection="1">
      <alignment vertical="center"/>
    </xf>
    <xf numFmtId="0" fontId="0" fillId="0" borderId="10" xfId="0" applyBorder="1" applyProtection="1"/>
    <xf numFmtId="0" fontId="3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 wrapText="1"/>
    </xf>
    <xf numFmtId="0" fontId="8" fillId="2" borderId="11" xfId="0" applyFont="1" applyFill="1" applyBorder="1" applyAlignment="1" applyProtection="1">
      <alignment horizontal="center" vertical="center"/>
    </xf>
    <xf numFmtId="0" fontId="8" fillId="2" borderId="1" xfId="0" applyFont="1" applyFill="1" applyBorder="1" applyAlignment="1" applyProtection="1">
      <alignment horizontal="left" vertical="center"/>
    </xf>
    <xf numFmtId="0" fontId="7" fillId="2" borderId="1" xfId="0" applyFont="1" applyFill="1" applyBorder="1" applyAlignment="1" applyProtection="1">
      <alignment vertical="center"/>
    </xf>
    <xf numFmtId="0" fontId="7" fillId="2" borderId="11" xfId="0" applyFont="1" applyFill="1" applyBorder="1" applyAlignment="1" applyProtection="1">
      <alignment horizontal="center" vertical="center"/>
    </xf>
    <xf numFmtId="0" fontId="9" fillId="2" borderId="1" xfId="0" applyFont="1" applyFill="1" applyBorder="1" applyAlignment="1" applyProtection="1">
      <alignment vertical="center"/>
    </xf>
    <xf numFmtId="0" fontId="7" fillId="2" borderId="1" xfId="0" quotePrefix="1" applyFont="1" applyFill="1" applyBorder="1" applyAlignment="1" applyProtection="1">
      <alignment vertical="center"/>
    </xf>
    <xf numFmtId="0" fontId="7" fillId="2" borderId="0" xfId="0" applyFont="1" applyFill="1" applyAlignment="1" applyProtection="1">
      <alignment vertical="center"/>
    </xf>
    <xf numFmtId="0" fontId="7" fillId="0" borderId="7" xfId="0" applyFont="1" applyBorder="1" applyAlignment="1" applyProtection="1">
      <alignment vertical="center"/>
    </xf>
    <xf numFmtId="0" fontId="7" fillId="0" borderId="7" xfId="0" applyFont="1" applyBorder="1" applyAlignment="1" applyProtection="1">
      <alignment horizontal="center" vertical="center"/>
    </xf>
    <xf numFmtId="0" fontId="8" fillId="2" borderId="0" xfId="0" applyFont="1" applyFill="1" applyAlignment="1" applyProtection="1">
      <alignment horizontal="center" vertical="center"/>
    </xf>
    <xf numFmtId="0" fontId="7" fillId="2" borderId="0" xfId="0" applyFont="1" applyFill="1" applyAlignment="1" applyProtection="1">
      <alignment horizontal="center" vertical="center"/>
    </xf>
    <xf numFmtId="0" fontId="10" fillId="2" borderId="0" xfId="0" applyFont="1" applyFill="1" applyAlignment="1" applyProtection="1">
      <alignment vertical="center"/>
    </xf>
    <xf numFmtId="0" fontId="4" fillId="0" borderId="0" xfId="0" applyFont="1" applyAlignment="1" applyProtection="1">
      <alignment horizontal="center"/>
    </xf>
  </cellXfs>
  <cellStyles count="4">
    <cellStyle name="Comma" xfId="3" builtinId="3"/>
    <cellStyle name="Comma 2" xfId="2" xr:uid="{00000000-0005-0000-0000-000002000000}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0</xdr:row>
      <xdr:rowOff>123825</xdr:rowOff>
    </xdr:from>
    <xdr:to>
      <xdr:col>1</xdr:col>
      <xdr:colOff>1287145</xdr:colOff>
      <xdr:row>4</xdr:row>
      <xdr:rowOff>26669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38250" y="276225"/>
          <a:ext cx="631825" cy="657225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139700</xdr:colOff>
      <xdr:row>1</xdr:row>
      <xdr:rowOff>0</xdr:rowOff>
    </xdr:from>
    <xdr:to>
      <xdr:col>1</xdr:col>
      <xdr:colOff>845344</xdr:colOff>
      <xdr:row>5</xdr:row>
      <xdr:rowOff>23811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58888" y="190500"/>
          <a:ext cx="705644" cy="747711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139700</xdr:colOff>
      <xdr:row>1</xdr:row>
      <xdr:rowOff>0</xdr:rowOff>
    </xdr:from>
    <xdr:to>
      <xdr:col>1</xdr:col>
      <xdr:colOff>849154</xdr:colOff>
      <xdr:row>5</xdr:row>
      <xdr:rowOff>54291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11225" y="190500"/>
          <a:ext cx="705644" cy="785811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651;&#3610;&#3626;&#3633;&#3656;&#3591;&#3591;&#3634;&#3609;%20JOB%2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3651;&#3610;&#3626;&#3633;&#3656;&#3591;&#3591;&#3634;&#3609;%20JOB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ใบงาน Agilent_JOB 1.1"/>
      <sheetName val="ใบงาน Agilent_JOB 1.2"/>
      <sheetName val="ใบงาน Agilent_JOB 1.3"/>
      <sheetName val="ใบงาน Agilent_JOB 1.4"/>
      <sheetName val="ใบงาน Agilent_JOB 1.5"/>
      <sheetName val="A2-QC ถุง"/>
      <sheetName val="P2-QC กล่อง"/>
    </sheetNames>
    <sheetDataSet>
      <sheetData sheetId="0">
        <row r="8">
          <cell r="F8" t="str">
            <v>K9801-60098</v>
          </cell>
        </row>
        <row r="9">
          <cell r="F9" t="str">
            <v>K9801-60079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ใบงาน Agilent_JOB 2.1"/>
      <sheetName val="ใบงาน Agilent_JOB 2.2"/>
      <sheetName val="A2-QC ถุง"/>
      <sheetName val="P2-QCกล่อง"/>
    </sheetNames>
    <sheetDataSet>
      <sheetData sheetId="0">
        <row r="9">
          <cell r="F9" t="str">
            <v>K9801-60099</v>
          </cell>
        </row>
        <row r="10">
          <cell r="F10" t="str">
            <v>K9801-60082</v>
          </cell>
        </row>
      </sheetData>
      <sheetData sheetId="1">
        <row r="10">
          <cell r="F10" t="str">
            <v>K9801-60083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3"/>
  <sheetViews>
    <sheetView topLeftCell="A16" workbookViewId="0">
      <selection activeCell="B30" activeCellId="7" sqref="M9 M8 M7 F7 B7 C17 D17 B30:B37"/>
    </sheetView>
  </sheetViews>
  <sheetFormatPr defaultColWidth="8.77734375" defaultRowHeight="11.4"/>
  <cols>
    <col min="1" max="1" width="8.77734375" style="145" customWidth="1"/>
    <col min="2" max="2" width="21.21875" style="84" customWidth="1"/>
    <col min="3" max="3" width="26.77734375" style="84" customWidth="1"/>
    <col min="4" max="4" width="12.77734375" style="145" customWidth="1"/>
    <col min="5" max="5" width="14.88671875" style="145" hidden="1" customWidth="1"/>
    <col min="6" max="6" width="12.77734375" style="145" customWidth="1"/>
    <col min="7" max="7" width="14.77734375" style="84" customWidth="1"/>
    <col min="8" max="8" width="11.77734375" style="84" customWidth="1"/>
    <col min="9" max="9" width="12.77734375" style="84" customWidth="1"/>
    <col min="10" max="10" width="12.77734375" style="145" customWidth="1"/>
    <col min="11" max="11" width="14.77734375" style="145" customWidth="1"/>
    <col min="12" max="13" width="8.77734375" style="84" customWidth="1"/>
    <col min="14" max="15" width="13.77734375" style="145" customWidth="1"/>
    <col min="16" max="16" width="8.77734375" style="84" customWidth="1"/>
    <col min="17" max="16384" width="8.77734375" style="84"/>
  </cols>
  <sheetData>
    <row r="1" spans="1:15" ht="23.25" customHeight="1">
      <c r="A1" s="83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4"/>
    </row>
    <row r="2" spans="1:15" ht="11.7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4"/>
    </row>
    <row r="3" spans="1:15" ht="11.7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4"/>
    </row>
    <row r="4" spans="1:15" ht="11.7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4"/>
    </row>
    <row r="5" spans="1:15" ht="11.7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4"/>
    </row>
    <row r="6" spans="1:15" ht="22.8" customHeight="1">
      <c r="A6" s="85" t="s">
        <v>1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86"/>
      <c r="O6" s="86" t="s">
        <v>2</v>
      </c>
    </row>
    <row r="7" spans="1:15" s="23" customFormat="1" ht="21" customHeight="1">
      <c r="A7" s="50" t="s">
        <v>3</v>
      </c>
      <c r="B7" s="1">
        <v>46242</v>
      </c>
      <c r="C7" s="87"/>
      <c r="D7" s="50" t="s">
        <v>4</v>
      </c>
      <c r="E7" s="50"/>
      <c r="F7" s="2" t="s">
        <v>5</v>
      </c>
      <c r="G7" s="88"/>
      <c r="H7" s="14"/>
      <c r="I7" s="14"/>
      <c r="J7" s="50"/>
      <c r="K7" s="23" t="s">
        <v>6</v>
      </c>
      <c r="L7" s="87" t="s">
        <v>7</v>
      </c>
      <c r="M7" s="3" t="s">
        <v>5</v>
      </c>
      <c r="N7" s="89"/>
      <c r="O7" s="50"/>
    </row>
    <row r="8" spans="1:15" s="23" customFormat="1" ht="21" customHeight="1">
      <c r="A8" s="50" t="s">
        <v>8</v>
      </c>
      <c r="B8" s="23" t="s">
        <v>9</v>
      </c>
      <c r="C8" s="14"/>
      <c r="D8" s="50" t="s">
        <v>10</v>
      </c>
      <c r="E8" s="50"/>
      <c r="F8" s="90" t="s">
        <v>11</v>
      </c>
      <c r="G8" s="14"/>
      <c r="H8" s="14"/>
      <c r="I8" s="14"/>
      <c r="J8" s="50"/>
      <c r="K8" s="23" t="s">
        <v>12</v>
      </c>
      <c r="L8" s="14"/>
      <c r="M8" s="4">
        <v>2000</v>
      </c>
      <c r="N8" s="91"/>
      <c r="O8" s="50"/>
    </row>
    <row r="9" spans="1:15" s="23" customFormat="1" ht="21" customHeight="1">
      <c r="A9" s="50" t="s">
        <v>13</v>
      </c>
      <c r="B9" s="23" t="s">
        <v>14</v>
      </c>
      <c r="C9" s="14"/>
      <c r="D9" s="23" t="s">
        <v>15</v>
      </c>
      <c r="E9" s="50"/>
      <c r="F9" s="92" t="s">
        <v>16</v>
      </c>
      <c r="G9" s="14"/>
      <c r="H9" s="14"/>
      <c r="I9" s="14"/>
      <c r="J9" s="50"/>
      <c r="K9" s="50" t="s">
        <v>17</v>
      </c>
      <c r="L9" s="14"/>
      <c r="M9" s="5" t="s">
        <v>18</v>
      </c>
      <c r="N9" s="93"/>
      <c r="O9" s="50"/>
    </row>
    <row r="10" spans="1:15" s="57" customFormat="1" ht="21" customHeight="1">
      <c r="A10" s="18"/>
      <c r="B10" s="14"/>
      <c r="C10" s="14"/>
      <c r="D10" s="18"/>
      <c r="E10" s="18"/>
      <c r="F10" s="18"/>
      <c r="G10" s="14"/>
      <c r="H10" s="14"/>
      <c r="I10" s="14"/>
      <c r="J10" s="18"/>
      <c r="K10" s="18"/>
      <c r="L10" s="14"/>
      <c r="M10" s="14"/>
      <c r="N10" s="18"/>
      <c r="O10" s="18"/>
    </row>
    <row r="11" spans="1:15" s="57" customFormat="1" ht="21" customHeight="1">
      <c r="A11" s="18"/>
      <c r="B11" s="94" t="s">
        <v>19</v>
      </c>
      <c r="C11" s="94" t="s">
        <v>20</v>
      </c>
      <c r="D11" s="95"/>
      <c r="E11" s="18"/>
      <c r="F11" s="18"/>
      <c r="G11" s="14"/>
      <c r="H11" s="14"/>
      <c r="I11" s="14"/>
      <c r="J11" s="18"/>
      <c r="K11" s="50"/>
      <c r="L11" s="14"/>
      <c r="M11" s="14"/>
      <c r="N11" s="14"/>
      <c r="O11" s="14"/>
    </row>
    <row r="12" spans="1:15" s="57" customFormat="1" ht="21" customHeight="1">
      <c r="A12" s="18"/>
      <c r="B12" s="57" t="s">
        <v>21</v>
      </c>
      <c r="C12" s="14"/>
      <c r="D12" s="18"/>
      <c r="E12" s="18"/>
      <c r="F12" s="18"/>
      <c r="G12" s="14"/>
      <c r="H12" s="14"/>
      <c r="I12" s="14"/>
      <c r="J12" s="18"/>
      <c r="K12" s="50"/>
      <c r="L12" s="18"/>
      <c r="M12" s="18"/>
      <c r="N12" s="18"/>
      <c r="O12" s="18"/>
    </row>
    <row r="13" spans="1:15" s="57" customFormat="1" ht="21" customHeight="1">
      <c r="A13" s="96" t="s">
        <v>22</v>
      </c>
      <c r="B13" s="14"/>
      <c r="C13" s="14"/>
      <c r="D13" s="18"/>
      <c r="E13" s="18"/>
      <c r="F13" s="18"/>
      <c r="G13" s="14"/>
      <c r="H13" s="14"/>
      <c r="I13" s="14"/>
      <c r="J13" s="18"/>
      <c r="K13" s="50"/>
      <c r="L13" s="23"/>
      <c r="M13" s="14"/>
      <c r="N13" s="18"/>
      <c r="O13" s="18"/>
    </row>
    <row r="14" spans="1:15" s="57" customFormat="1" ht="21" customHeight="1">
      <c r="A14" s="18"/>
      <c r="B14" s="14"/>
      <c r="C14" s="14"/>
      <c r="D14" s="18"/>
      <c r="E14" s="18"/>
      <c r="F14" s="18"/>
      <c r="G14" s="14"/>
      <c r="H14" s="14"/>
      <c r="I14" s="14"/>
      <c r="J14" s="18"/>
      <c r="K14" s="50"/>
      <c r="L14" s="23"/>
      <c r="M14" s="14"/>
      <c r="N14" s="18"/>
      <c r="O14" s="18"/>
    </row>
    <row r="15" spans="1:15" s="104" customFormat="1" ht="21" customHeight="1">
      <c r="A15" s="97" t="s">
        <v>23</v>
      </c>
      <c r="B15" s="97" t="s">
        <v>24</v>
      </c>
      <c r="C15" s="97" t="s">
        <v>25</v>
      </c>
      <c r="D15" s="97" t="s">
        <v>26</v>
      </c>
      <c r="E15" s="98" t="s">
        <v>27</v>
      </c>
      <c r="F15" s="99" t="s">
        <v>28</v>
      </c>
      <c r="G15" s="100" t="s">
        <v>27</v>
      </c>
      <c r="H15" s="101" t="s">
        <v>29</v>
      </c>
      <c r="I15" s="14"/>
      <c r="J15" s="102"/>
      <c r="K15" s="103"/>
      <c r="L15" s="14"/>
      <c r="M15" s="14"/>
      <c r="N15" s="14"/>
      <c r="O15" s="14"/>
    </row>
    <row r="16" spans="1:15" s="104" customFormat="1" ht="21" customHeight="1">
      <c r="A16" s="38"/>
      <c r="B16" s="38"/>
      <c r="C16" s="38"/>
      <c r="D16" s="38"/>
      <c r="E16" s="38"/>
      <c r="F16" s="39"/>
      <c r="G16" s="38"/>
      <c r="H16" s="47"/>
      <c r="I16" s="14"/>
      <c r="J16" s="102"/>
      <c r="K16" s="12"/>
      <c r="L16" s="14"/>
      <c r="M16" s="14"/>
      <c r="N16" s="14"/>
      <c r="O16" s="14"/>
    </row>
    <row r="17" spans="1:15" s="57" customFormat="1" ht="21" customHeight="1">
      <c r="A17" s="105">
        <v>1</v>
      </c>
      <c r="B17" s="106" t="s">
        <v>30</v>
      </c>
      <c r="C17" s="6" t="s">
        <v>19</v>
      </c>
      <c r="D17" s="7">
        <v>6</v>
      </c>
      <c r="E17" s="109">
        <f>D17*N8*(I44+J44)</f>
        <v>0</v>
      </c>
      <c r="F17" s="77">
        <v>50</v>
      </c>
      <c r="G17" s="110">
        <f>E17</f>
        <v>0</v>
      </c>
      <c r="H17" s="110">
        <f>G17*0.00328/F17</f>
        <v>0</v>
      </c>
      <c r="I17" s="14"/>
      <c r="J17" s="14"/>
      <c r="K17" s="31"/>
      <c r="L17" s="23"/>
      <c r="M17" s="14"/>
      <c r="N17" s="14"/>
      <c r="O17" s="14"/>
    </row>
    <row r="18" spans="1:15" s="57" customFormat="1" ht="21" customHeight="1">
      <c r="A18" s="111">
        <v>2</v>
      </c>
      <c r="B18" s="112" t="s">
        <v>31</v>
      </c>
      <c r="C18" s="112"/>
      <c r="D18" s="111"/>
      <c r="E18" s="111"/>
      <c r="F18" s="111"/>
      <c r="G18" s="112"/>
      <c r="H18" s="112"/>
      <c r="I18" s="14"/>
      <c r="J18" s="18"/>
      <c r="K18" s="12"/>
      <c r="L18" s="23"/>
      <c r="M18" s="14"/>
      <c r="N18" s="18"/>
      <c r="O18" s="18"/>
    </row>
    <row r="19" spans="1:15" s="57" customFormat="1" ht="21" customHeight="1">
      <c r="A19" s="111">
        <v>3</v>
      </c>
      <c r="B19" s="112" t="s">
        <v>32</v>
      </c>
      <c r="C19" s="112"/>
      <c r="D19" s="111" t="s">
        <v>33</v>
      </c>
      <c r="E19" s="111"/>
      <c r="F19" s="111"/>
      <c r="G19" s="112"/>
      <c r="H19" s="112"/>
      <c r="I19" s="14"/>
      <c r="J19" s="18"/>
      <c r="K19" s="113"/>
      <c r="L19" s="23"/>
      <c r="M19" s="14"/>
      <c r="N19" s="18"/>
      <c r="O19" s="18"/>
    </row>
    <row r="20" spans="1:15" s="57" customFormat="1" ht="21" customHeight="1">
      <c r="A20" s="111">
        <v>4</v>
      </c>
      <c r="B20" s="112" t="s">
        <v>34</v>
      </c>
      <c r="C20" s="112"/>
      <c r="D20" s="111" t="s">
        <v>35</v>
      </c>
      <c r="E20" s="111"/>
      <c r="F20" s="111"/>
      <c r="G20" s="112"/>
      <c r="H20" s="112"/>
      <c r="I20" s="14"/>
      <c r="J20" s="18"/>
      <c r="K20" s="113"/>
      <c r="L20" s="23"/>
      <c r="M20" s="14"/>
      <c r="N20" s="18"/>
      <c r="O20" s="18"/>
    </row>
    <row r="21" spans="1:15" s="57" customFormat="1" ht="21" customHeight="1">
      <c r="A21" s="111">
        <v>5</v>
      </c>
      <c r="B21" s="107" t="s">
        <v>36</v>
      </c>
      <c r="C21" s="108" t="s">
        <v>37</v>
      </c>
      <c r="D21" s="111">
        <f>N8</f>
        <v>0</v>
      </c>
      <c r="E21" s="111"/>
      <c r="F21" s="111"/>
      <c r="G21" s="112"/>
      <c r="H21" s="112"/>
      <c r="I21" s="14"/>
      <c r="J21" s="18"/>
      <c r="K21" s="113"/>
      <c r="L21" s="23"/>
      <c r="M21" s="14"/>
      <c r="N21" s="18"/>
      <c r="O21" s="18"/>
    </row>
    <row r="22" spans="1:15" s="57" customFormat="1" ht="21" customHeight="1">
      <c r="A22" s="111">
        <v>6</v>
      </c>
      <c r="B22" s="112" t="s">
        <v>38</v>
      </c>
      <c r="C22" s="111" t="s">
        <v>39</v>
      </c>
      <c r="D22" s="111">
        <f>N8</f>
        <v>0</v>
      </c>
      <c r="E22" s="111"/>
      <c r="F22" s="111"/>
      <c r="G22" s="112"/>
      <c r="H22" s="112"/>
      <c r="I22" s="14"/>
      <c r="J22" s="18"/>
      <c r="K22" s="113"/>
      <c r="L22" s="23"/>
      <c r="M22" s="14"/>
      <c r="N22" s="18"/>
      <c r="O22" s="18"/>
    </row>
    <row r="23" spans="1:15" s="57" customFormat="1" ht="21" customHeight="1">
      <c r="A23" s="111">
        <v>7</v>
      </c>
      <c r="B23" s="112" t="s">
        <v>40</v>
      </c>
      <c r="C23" s="111" t="s">
        <v>41</v>
      </c>
      <c r="D23" s="111" t="s">
        <v>42</v>
      </c>
      <c r="E23" s="111"/>
      <c r="F23" s="111"/>
      <c r="G23" s="112"/>
      <c r="H23" s="112"/>
      <c r="I23" s="14"/>
      <c r="J23" s="18"/>
      <c r="K23" s="113"/>
      <c r="L23" s="23"/>
      <c r="M23" s="14"/>
      <c r="N23" s="18"/>
      <c r="O23" s="18"/>
    </row>
    <row r="24" spans="1:15" s="57" customFormat="1" ht="21" customHeight="1">
      <c r="A24" s="111">
        <v>8</v>
      </c>
      <c r="B24" s="112" t="s">
        <v>43</v>
      </c>
      <c r="C24" s="112"/>
      <c r="D24" s="111"/>
      <c r="E24" s="111"/>
      <c r="F24" s="111"/>
      <c r="G24" s="112"/>
      <c r="H24" s="112"/>
      <c r="I24" s="14"/>
      <c r="J24" s="18"/>
      <c r="K24" s="113"/>
      <c r="L24" s="27"/>
      <c r="M24" s="17"/>
      <c r="N24" s="14"/>
      <c r="O24" s="14"/>
    </row>
    <row r="25" spans="1:15" s="57" customFormat="1" ht="21" customHeight="1">
      <c r="A25" s="18"/>
      <c r="B25" s="14"/>
      <c r="C25" s="14"/>
      <c r="D25" s="18"/>
      <c r="E25" s="18"/>
      <c r="F25" s="18"/>
      <c r="G25" s="14"/>
      <c r="H25" s="14"/>
      <c r="I25" s="14"/>
      <c r="J25" s="18"/>
      <c r="K25" s="18"/>
      <c r="L25" s="14"/>
      <c r="M25" s="14"/>
      <c r="N25" s="18"/>
      <c r="O25" s="18"/>
    </row>
    <row r="26" spans="1:15" s="57" customFormat="1" ht="21" customHeight="1">
      <c r="A26" s="114" t="s">
        <v>44</v>
      </c>
      <c r="B26" s="14"/>
      <c r="C26" s="14"/>
      <c r="D26" s="18"/>
      <c r="E26" s="18"/>
      <c r="F26" s="18"/>
      <c r="G26" s="14"/>
      <c r="H26" s="14"/>
      <c r="I26" s="14"/>
      <c r="J26" s="18"/>
      <c r="K26" s="18"/>
      <c r="L26" s="14"/>
      <c r="M26" s="14"/>
      <c r="N26" s="18"/>
      <c r="O26" s="14"/>
    </row>
    <row r="27" spans="1:15" s="57" customFormat="1" ht="21" customHeight="1">
      <c r="A27" s="18"/>
      <c r="B27" s="14"/>
      <c r="C27" s="14"/>
      <c r="D27" s="18"/>
      <c r="E27" s="18"/>
      <c r="F27" s="18"/>
      <c r="G27" s="14"/>
      <c r="H27" s="14"/>
      <c r="I27" s="14"/>
      <c r="J27" s="18"/>
      <c r="K27" s="18"/>
      <c r="L27" s="14"/>
      <c r="M27" s="14"/>
      <c r="N27" s="18"/>
      <c r="O27" s="18"/>
    </row>
    <row r="28" spans="1:15" s="104" customFormat="1" ht="21" customHeight="1">
      <c r="A28" s="97" t="s">
        <v>23</v>
      </c>
      <c r="B28" s="97" t="s">
        <v>24</v>
      </c>
      <c r="C28" s="97" t="s">
        <v>25</v>
      </c>
      <c r="D28" s="97" t="s">
        <v>26</v>
      </c>
      <c r="E28" s="115"/>
      <c r="F28" s="116" t="s">
        <v>45</v>
      </c>
      <c r="G28" s="100" t="s">
        <v>46</v>
      </c>
      <c r="H28" s="44"/>
      <c r="I28" s="44"/>
      <c r="J28" s="45"/>
      <c r="K28" s="100" t="s">
        <v>47</v>
      </c>
      <c r="L28" s="44"/>
      <c r="M28" s="45"/>
      <c r="N28" s="100" t="s">
        <v>48</v>
      </c>
      <c r="O28" s="117"/>
    </row>
    <row r="29" spans="1:15" s="104" customFormat="1" ht="21" customHeight="1">
      <c r="A29" s="38"/>
      <c r="B29" s="38"/>
      <c r="C29" s="38"/>
      <c r="D29" s="38"/>
      <c r="E29" s="115"/>
      <c r="F29" s="38"/>
      <c r="G29" s="118" t="s">
        <v>49</v>
      </c>
      <c r="H29" s="118" t="s">
        <v>50</v>
      </c>
      <c r="I29" s="118" t="s">
        <v>51</v>
      </c>
      <c r="J29" s="119" t="s">
        <v>48</v>
      </c>
      <c r="K29" s="115" t="s">
        <v>52</v>
      </c>
      <c r="L29" s="118" t="s">
        <v>53</v>
      </c>
      <c r="M29" s="118" t="s">
        <v>54</v>
      </c>
      <c r="N29" s="38"/>
      <c r="O29" s="117"/>
    </row>
    <row r="30" spans="1:15" s="57" customFormat="1" ht="21" customHeight="1">
      <c r="A30" s="120">
        <v>12</v>
      </c>
      <c r="B30" s="9" t="s">
        <v>55</v>
      </c>
      <c r="C30" s="121" t="s">
        <v>56</v>
      </c>
      <c r="D30" s="68">
        <v>6</v>
      </c>
      <c r="E30" s="77"/>
      <c r="F30" s="122">
        <f>N8*D30</f>
        <v>0</v>
      </c>
      <c r="G30" s="123"/>
      <c r="H30" s="123"/>
      <c r="I30" s="123"/>
      <c r="J30" s="124"/>
      <c r="K30" s="122" t="s">
        <v>57</v>
      </c>
      <c r="L30" s="77"/>
      <c r="M30" s="112"/>
      <c r="N30" s="112"/>
      <c r="O30" s="23"/>
    </row>
    <row r="31" spans="1:15" s="57" customFormat="1" ht="21" customHeight="1">
      <c r="A31" s="47"/>
      <c r="B31" s="10"/>
      <c r="C31" s="47"/>
      <c r="D31" s="47"/>
      <c r="E31" s="77"/>
      <c r="F31" s="47"/>
      <c r="G31" s="123"/>
      <c r="H31" s="123"/>
      <c r="I31" s="123"/>
      <c r="J31" s="124"/>
      <c r="K31" s="47"/>
      <c r="L31" s="111"/>
      <c r="M31" s="112"/>
      <c r="N31" s="112"/>
      <c r="O31" s="23"/>
    </row>
    <row r="32" spans="1:15" s="57" customFormat="1" ht="21" customHeight="1">
      <c r="A32" s="47"/>
      <c r="B32" s="10"/>
      <c r="C32" s="47"/>
      <c r="D32" s="47"/>
      <c r="E32" s="77"/>
      <c r="F32" s="47"/>
      <c r="G32" s="123"/>
      <c r="H32" s="123"/>
      <c r="I32" s="123"/>
      <c r="J32" s="124"/>
      <c r="K32" s="47"/>
      <c r="L32" s="112"/>
      <c r="M32" s="112"/>
      <c r="N32" s="112"/>
      <c r="O32" s="23"/>
    </row>
    <row r="33" spans="1:15" s="57" customFormat="1" ht="21" customHeight="1">
      <c r="A33" s="47"/>
      <c r="B33" s="10"/>
      <c r="C33" s="47"/>
      <c r="D33" s="47"/>
      <c r="E33" s="77"/>
      <c r="F33" s="47"/>
      <c r="G33" s="123"/>
      <c r="H33" s="123"/>
      <c r="I33" s="123"/>
      <c r="J33" s="124"/>
      <c r="K33" s="47"/>
      <c r="L33" s="112"/>
      <c r="M33" s="112"/>
      <c r="N33" s="112"/>
      <c r="O33" s="23"/>
    </row>
    <row r="34" spans="1:15" s="57" customFormat="1" ht="21" customHeight="1">
      <c r="A34" s="47"/>
      <c r="B34" s="10"/>
      <c r="C34" s="47"/>
      <c r="D34" s="47"/>
      <c r="E34" s="77"/>
      <c r="F34" s="47"/>
      <c r="G34" s="123"/>
      <c r="H34" s="123"/>
      <c r="I34" s="123"/>
      <c r="J34" s="124"/>
      <c r="K34" s="47"/>
      <c r="L34" s="112"/>
      <c r="M34" s="112"/>
      <c r="N34" s="112"/>
      <c r="O34" s="23"/>
    </row>
    <row r="35" spans="1:15" s="57" customFormat="1" ht="21" customHeight="1">
      <c r="A35" s="47"/>
      <c r="B35" s="10"/>
      <c r="C35" s="47"/>
      <c r="D35" s="47"/>
      <c r="E35" s="112"/>
      <c r="F35" s="47"/>
      <c r="G35" s="123"/>
      <c r="H35" s="123"/>
      <c r="I35" s="123"/>
      <c r="J35" s="124"/>
      <c r="K35" s="47"/>
      <c r="L35" s="112"/>
      <c r="M35" s="112"/>
      <c r="N35" s="112"/>
      <c r="O35" s="23"/>
    </row>
    <row r="36" spans="1:15" s="57" customFormat="1" ht="21" customHeight="1">
      <c r="A36" s="47"/>
      <c r="B36" s="10"/>
      <c r="C36" s="47"/>
      <c r="D36" s="47"/>
      <c r="E36" s="111"/>
      <c r="F36" s="47"/>
      <c r="G36" s="123"/>
      <c r="H36" s="123"/>
      <c r="I36" s="123"/>
      <c r="J36" s="124"/>
      <c r="K36" s="47"/>
      <c r="L36" s="112"/>
      <c r="M36" s="112"/>
      <c r="N36" s="112"/>
      <c r="O36" s="23"/>
    </row>
    <row r="37" spans="1:15" s="57" customFormat="1" ht="21" customHeight="1">
      <c r="A37" s="38"/>
      <c r="B37" s="8"/>
      <c r="C37" s="38"/>
      <c r="D37" s="38"/>
      <c r="E37" s="111"/>
      <c r="F37" s="38"/>
      <c r="G37" s="123"/>
      <c r="H37" s="123"/>
      <c r="I37" s="123"/>
      <c r="J37" s="124"/>
      <c r="K37" s="38"/>
      <c r="L37" s="112"/>
      <c r="M37" s="112"/>
      <c r="N37" s="112"/>
      <c r="O37" s="23"/>
    </row>
    <row r="38" spans="1:15" s="57" customFormat="1" ht="21" customHeight="1">
      <c r="A38" s="18"/>
      <c r="B38" s="14"/>
      <c r="C38" s="18"/>
      <c r="D38" s="18"/>
      <c r="E38" s="18"/>
      <c r="F38" s="125"/>
      <c r="G38" s="14"/>
      <c r="H38" s="14"/>
      <c r="I38" s="18"/>
      <c r="J38" s="18"/>
      <c r="K38" s="14"/>
      <c r="L38" s="14"/>
      <c r="M38" s="18"/>
      <c r="N38" s="18"/>
      <c r="O38" s="14"/>
    </row>
    <row r="39" spans="1:15" s="57" customFormat="1" ht="21" hidden="1" customHeight="1">
      <c r="A39" s="96" t="s">
        <v>58</v>
      </c>
      <c r="B39" s="14"/>
      <c r="C39" s="14"/>
      <c r="D39" s="18"/>
      <c r="E39" s="18"/>
      <c r="F39" s="18"/>
      <c r="G39" s="14"/>
      <c r="H39" s="14"/>
      <c r="I39" s="14"/>
      <c r="J39" s="18"/>
      <c r="K39" s="18"/>
      <c r="L39" s="14"/>
      <c r="M39" s="14"/>
      <c r="N39" s="18"/>
      <c r="O39" s="18"/>
    </row>
    <row r="40" spans="1:15" s="57" customFormat="1" ht="21" hidden="1" customHeight="1">
      <c r="A40" s="18"/>
      <c r="B40" s="14"/>
      <c r="C40" s="14"/>
      <c r="D40" s="18"/>
      <c r="E40" s="18"/>
      <c r="F40" s="18"/>
      <c r="G40" s="14"/>
      <c r="H40" s="14"/>
      <c r="I40" s="14"/>
      <c r="J40" s="18"/>
      <c r="K40" s="18"/>
      <c r="L40" s="14"/>
      <c r="M40" s="14"/>
      <c r="N40" s="18"/>
      <c r="O40" s="18"/>
    </row>
    <row r="41" spans="1:15" s="129" customFormat="1" ht="21" hidden="1" customHeight="1">
      <c r="A41" s="33" t="s">
        <v>23</v>
      </c>
      <c r="B41" s="33" t="s">
        <v>59</v>
      </c>
      <c r="C41" s="33" t="s">
        <v>60</v>
      </c>
      <c r="D41" s="126" t="s">
        <v>60</v>
      </c>
      <c r="E41" s="127"/>
      <c r="F41" s="33" t="s">
        <v>61</v>
      </c>
      <c r="G41" s="33" t="s">
        <v>25</v>
      </c>
      <c r="H41" s="128" t="s">
        <v>62</v>
      </c>
      <c r="I41" s="128" t="s">
        <v>63</v>
      </c>
      <c r="J41" s="128" t="s">
        <v>64</v>
      </c>
      <c r="K41" s="128" t="s">
        <v>65</v>
      </c>
      <c r="L41" s="128" t="s">
        <v>66</v>
      </c>
      <c r="M41" s="36"/>
      <c r="N41" s="128" t="s">
        <v>67</v>
      </c>
      <c r="O41" s="36"/>
    </row>
    <row r="42" spans="1:15" s="129" customFormat="1" ht="21" hidden="1" customHeight="1">
      <c r="A42" s="47"/>
      <c r="B42" s="47"/>
      <c r="C42" s="47"/>
      <c r="D42" s="130"/>
      <c r="E42" s="14"/>
      <c r="F42" s="47"/>
      <c r="G42" s="47"/>
      <c r="H42" s="47"/>
      <c r="I42" s="47"/>
      <c r="J42" s="47"/>
      <c r="K42" s="47"/>
      <c r="L42" s="39"/>
      <c r="M42" s="40"/>
      <c r="N42" s="39"/>
      <c r="O42" s="40"/>
    </row>
    <row r="43" spans="1:15" s="129" customFormat="1" ht="21" hidden="1" customHeight="1">
      <c r="A43" s="38"/>
      <c r="B43" s="38"/>
      <c r="C43" s="38"/>
      <c r="D43" s="39"/>
      <c r="E43" s="14"/>
      <c r="F43" s="38"/>
      <c r="G43" s="38"/>
      <c r="H43" s="38"/>
      <c r="I43" s="38"/>
      <c r="J43" s="38"/>
      <c r="K43" s="38"/>
      <c r="L43" s="131" t="s">
        <v>53</v>
      </c>
      <c r="M43" s="132" t="s">
        <v>54</v>
      </c>
      <c r="N43" s="131" t="s">
        <v>53</v>
      </c>
      <c r="O43" s="132" t="s">
        <v>54</v>
      </c>
    </row>
    <row r="44" spans="1:15" s="139" customFormat="1" ht="21" hidden="1" customHeight="1">
      <c r="A44" s="133">
        <v>1</v>
      </c>
      <c r="B44" s="134" t="s">
        <v>11</v>
      </c>
      <c r="C44" s="134" t="s">
        <v>55</v>
      </c>
      <c r="D44" s="135" t="s">
        <v>11</v>
      </c>
      <c r="E44" s="135" t="s">
        <v>68</v>
      </c>
      <c r="F44" s="136" t="s">
        <v>69</v>
      </c>
      <c r="G44" s="137" t="s">
        <v>19</v>
      </c>
      <c r="H44" s="136" t="s">
        <v>70</v>
      </c>
      <c r="I44" s="135">
        <v>304.8</v>
      </c>
      <c r="J44" s="138" t="s">
        <v>71</v>
      </c>
      <c r="K44" s="136" t="s">
        <v>57</v>
      </c>
      <c r="L44" s="135"/>
      <c r="M44" s="135"/>
      <c r="N44" s="135"/>
      <c r="O44" s="135"/>
    </row>
    <row r="45" spans="1:15" s="57" customFormat="1" ht="21" hidden="1" customHeight="1">
      <c r="A45" s="18"/>
      <c r="B45" s="14"/>
      <c r="C45" s="14"/>
      <c r="D45" s="18"/>
      <c r="E45" s="18"/>
      <c r="F45" s="18"/>
      <c r="G45" s="14"/>
      <c r="H45" s="18"/>
      <c r="I45" s="14"/>
      <c r="J45" s="18"/>
      <c r="K45" s="18"/>
      <c r="L45" s="14"/>
      <c r="M45" s="14"/>
      <c r="N45" s="18"/>
      <c r="O45" s="18"/>
    </row>
    <row r="46" spans="1:15" s="57" customFormat="1" ht="21" hidden="1" customHeight="1">
      <c r="A46" s="18"/>
      <c r="B46" s="14"/>
      <c r="C46" s="14"/>
      <c r="D46" s="18"/>
      <c r="E46" s="18"/>
      <c r="F46" s="18"/>
      <c r="G46" s="14"/>
      <c r="H46" s="14"/>
      <c r="I46" s="57" t="s">
        <v>72</v>
      </c>
      <c r="J46" s="18"/>
      <c r="K46" s="57" t="s">
        <v>73</v>
      </c>
      <c r="L46" s="14"/>
      <c r="M46" s="140"/>
      <c r="N46" s="141"/>
      <c r="O46" s="141"/>
    </row>
    <row r="47" spans="1:15" s="139" customFormat="1" ht="21" customHeight="1">
      <c r="A47" s="96"/>
      <c r="B47" s="142"/>
      <c r="C47" s="14"/>
      <c r="D47" s="143"/>
      <c r="E47" s="143"/>
      <c r="F47" s="143"/>
      <c r="G47" s="14"/>
      <c r="H47" s="144"/>
      <c r="I47" s="14"/>
      <c r="J47" s="143"/>
      <c r="K47" s="143"/>
      <c r="L47" s="14"/>
      <c r="M47" s="14"/>
      <c r="N47" s="143"/>
      <c r="O47" s="143"/>
    </row>
    <row r="48" spans="1:15" s="139" customFormat="1" ht="21" customHeight="1">
      <c r="A48" s="143"/>
      <c r="B48" s="14"/>
      <c r="C48" s="14"/>
      <c r="D48" s="14"/>
      <c r="E48" s="14"/>
      <c r="F48" s="14"/>
      <c r="G48" s="14"/>
      <c r="H48" s="14"/>
      <c r="I48" s="14"/>
      <c r="J48" s="143"/>
      <c r="K48" s="143"/>
      <c r="L48" s="14"/>
      <c r="M48" s="14"/>
      <c r="N48" s="143"/>
      <c r="O48" s="143"/>
    </row>
    <row r="49" spans="1:15" s="139" customFormat="1" ht="21" customHeight="1">
      <c r="A49" s="143"/>
      <c r="B49" s="14"/>
      <c r="C49" s="14"/>
      <c r="D49" s="14"/>
      <c r="E49" s="14"/>
      <c r="F49" s="14"/>
      <c r="G49" s="14"/>
      <c r="H49" s="14"/>
      <c r="I49" s="14"/>
      <c r="J49" s="14"/>
      <c r="K49" s="143"/>
      <c r="L49" s="14"/>
      <c r="M49" s="14"/>
      <c r="N49" s="143"/>
      <c r="O49" s="143"/>
    </row>
    <row r="50" spans="1:15" s="139" customFormat="1" ht="21" customHeight="1">
      <c r="A50" s="143"/>
      <c r="B50" s="142"/>
      <c r="C50" s="14"/>
      <c r="D50" s="14"/>
      <c r="E50" s="14"/>
      <c r="F50" s="14"/>
      <c r="G50" s="14"/>
      <c r="H50" s="14"/>
      <c r="I50" s="14"/>
      <c r="J50" s="14"/>
      <c r="K50" s="143"/>
      <c r="L50" s="14"/>
      <c r="M50" s="14"/>
      <c r="N50" s="143"/>
      <c r="O50" s="143"/>
    </row>
    <row r="51" spans="1:15" s="139" customFormat="1" ht="21" customHeight="1">
      <c r="A51" s="143"/>
      <c r="B51" s="14"/>
      <c r="C51" s="14"/>
      <c r="D51" s="143"/>
      <c r="E51" s="143"/>
      <c r="F51" s="143"/>
      <c r="G51" s="14"/>
      <c r="H51" s="14"/>
      <c r="I51" s="14"/>
      <c r="J51" s="143"/>
      <c r="K51" s="143"/>
      <c r="L51" s="14"/>
      <c r="M51" s="14"/>
      <c r="N51" s="143"/>
      <c r="O51" s="143"/>
    </row>
    <row r="52" spans="1:15" s="139" customFormat="1" ht="21" customHeight="1">
      <c r="A52" s="143"/>
      <c r="B52" s="14"/>
      <c r="C52" s="14"/>
      <c r="D52" s="143"/>
      <c r="E52" s="143"/>
      <c r="F52" s="143"/>
      <c r="G52" s="14"/>
      <c r="H52" s="14"/>
      <c r="I52" s="14"/>
      <c r="J52" s="143"/>
      <c r="K52" s="143"/>
      <c r="L52" s="14"/>
      <c r="M52" s="14"/>
      <c r="N52" s="143"/>
      <c r="O52" s="143"/>
    </row>
    <row r="53" spans="1:15" s="139" customFormat="1" ht="21" customHeight="1">
      <c r="A53" s="143"/>
      <c r="B53" s="14"/>
      <c r="C53" s="14"/>
      <c r="D53" s="143"/>
      <c r="E53" s="143"/>
      <c r="F53" s="143"/>
      <c r="G53" s="14"/>
      <c r="H53" s="14"/>
      <c r="I53" s="14"/>
      <c r="J53" s="143"/>
      <c r="K53" s="143"/>
      <c r="L53" s="14"/>
      <c r="M53" s="14"/>
      <c r="N53" s="143"/>
      <c r="O53" s="143"/>
    </row>
    <row r="54" spans="1:15" s="139" customFormat="1" ht="21" customHeight="1">
      <c r="A54" s="143"/>
      <c r="B54" s="14"/>
      <c r="C54" s="14"/>
      <c r="D54" s="143"/>
      <c r="E54" s="143"/>
      <c r="F54" s="143"/>
      <c r="G54" s="14"/>
      <c r="H54" s="14"/>
      <c r="I54" s="14"/>
      <c r="J54" s="143"/>
      <c r="K54" s="143"/>
      <c r="L54" s="14"/>
      <c r="M54" s="14"/>
      <c r="N54" s="143"/>
      <c r="O54" s="143"/>
    </row>
    <row r="55" spans="1:15" s="57" customFormat="1" ht="21" customHeight="1">
      <c r="A55" s="18"/>
      <c r="B55" s="14"/>
      <c r="C55" s="14"/>
      <c r="D55" s="18"/>
      <c r="E55" s="18"/>
      <c r="F55" s="18"/>
      <c r="G55" s="14"/>
      <c r="H55" s="14"/>
      <c r="I55" s="14"/>
      <c r="J55" s="18"/>
      <c r="K55" s="18"/>
      <c r="L55" s="14"/>
      <c r="M55" s="14"/>
      <c r="N55" s="18"/>
      <c r="O55" s="18"/>
    </row>
    <row r="56" spans="1:15" s="57" customFormat="1" ht="21" customHeight="1">
      <c r="A56" s="18"/>
      <c r="B56" s="14"/>
      <c r="C56" s="14"/>
      <c r="D56" s="18"/>
      <c r="E56" s="18"/>
      <c r="F56" s="18"/>
      <c r="G56" s="14"/>
      <c r="H56" s="14"/>
      <c r="I56" s="14"/>
      <c r="J56" s="18"/>
      <c r="K56" s="18"/>
      <c r="L56" s="14"/>
      <c r="M56" s="14"/>
      <c r="N56" s="18"/>
      <c r="O56" s="18"/>
    </row>
    <row r="57" spans="1:15" s="57" customFormat="1" ht="21" customHeight="1">
      <c r="A57" s="18"/>
      <c r="B57" s="14"/>
      <c r="C57" s="14"/>
      <c r="D57" s="18"/>
      <c r="E57" s="18"/>
      <c r="F57" s="18"/>
      <c r="G57" s="14"/>
      <c r="H57" s="14"/>
      <c r="I57" s="14"/>
      <c r="J57" s="18"/>
      <c r="K57" s="18"/>
      <c r="L57" s="14"/>
      <c r="M57" s="14"/>
      <c r="N57" s="18"/>
      <c r="O57" s="18"/>
    </row>
    <row r="58" spans="1:15" s="57" customFormat="1" ht="21" customHeight="1">
      <c r="A58" s="18"/>
      <c r="B58" s="14"/>
      <c r="C58" s="14"/>
      <c r="D58" s="18"/>
      <c r="E58" s="18"/>
      <c r="F58" s="18"/>
      <c r="G58" s="14"/>
      <c r="H58" s="14"/>
      <c r="I58" s="14"/>
      <c r="J58" s="18"/>
      <c r="K58" s="18"/>
      <c r="L58" s="14"/>
      <c r="M58" s="14"/>
      <c r="N58" s="18"/>
      <c r="O58" s="18"/>
    </row>
    <row r="59" spans="1:15" s="57" customFormat="1" ht="21" customHeight="1">
      <c r="A59" s="18"/>
      <c r="B59" s="14"/>
      <c r="C59" s="14"/>
      <c r="D59" s="18"/>
      <c r="E59" s="18"/>
      <c r="F59" s="18"/>
      <c r="G59" s="14"/>
      <c r="H59" s="14"/>
      <c r="I59" s="14"/>
      <c r="J59" s="18"/>
      <c r="K59" s="18"/>
      <c r="L59" s="14"/>
      <c r="M59" s="14"/>
      <c r="N59" s="18"/>
      <c r="O59" s="18"/>
    </row>
    <row r="60" spans="1:15" s="57" customFormat="1" ht="21" customHeight="1">
      <c r="A60" s="18"/>
      <c r="B60" s="14"/>
      <c r="C60" s="14"/>
      <c r="D60" s="18"/>
      <c r="E60" s="18"/>
      <c r="F60" s="18"/>
      <c r="G60" s="14"/>
      <c r="H60" s="14"/>
      <c r="I60" s="14"/>
      <c r="J60" s="18"/>
      <c r="K60" s="18"/>
      <c r="L60" s="14"/>
      <c r="M60" s="14"/>
      <c r="N60" s="18"/>
      <c r="O60" s="18"/>
    </row>
    <row r="61" spans="1:15" s="57" customFormat="1" ht="21" customHeight="1">
      <c r="A61" s="18"/>
      <c r="B61" s="14"/>
      <c r="C61" s="14"/>
      <c r="D61" s="18"/>
      <c r="E61" s="18"/>
      <c r="F61" s="18"/>
      <c r="G61" s="14"/>
      <c r="H61" s="14"/>
      <c r="I61" s="14"/>
      <c r="J61" s="18"/>
      <c r="K61" s="18"/>
      <c r="L61" s="14"/>
      <c r="M61" s="14"/>
      <c r="N61" s="18"/>
      <c r="O61" s="18"/>
    </row>
    <row r="62" spans="1:15" s="57" customFormat="1" ht="21" customHeight="1">
      <c r="A62" s="18"/>
      <c r="B62" s="14"/>
      <c r="C62" s="14"/>
      <c r="D62" s="18"/>
      <c r="E62" s="18"/>
      <c r="F62" s="18"/>
      <c r="G62" s="14"/>
      <c r="H62" s="14"/>
      <c r="I62" s="14"/>
      <c r="J62" s="18"/>
      <c r="K62" s="18"/>
      <c r="L62" s="14"/>
      <c r="M62" s="14"/>
      <c r="N62" s="18"/>
      <c r="O62" s="18"/>
    </row>
    <row r="63" spans="1:15" s="57" customFormat="1" ht="21" customHeight="1">
      <c r="A63" s="18"/>
      <c r="B63" s="14"/>
      <c r="C63" s="14"/>
      <c r="D63" s="18"/>
      <c r="E63" s="18"/>
      <c r="F63" s="18"/>
      <c r="G63" s="14"/>
      <c r="H63" s="14"/>
      <c r="I63" s="14"/>
      <c r="J63" s="18"/>
      <c r="K63" s="18"/>
      <c r="L63" s="14"/>
      <c r="M63" s="14"/>
      <c r="N63" s="18"/>
      <c r="O63" s="18"/>
    </row>
  </sheetData>
  <sheetProtection sheet="1" objects="1" scenarios="1" selectLockedCells="1"/>
  <mergeCells count="37">
    <mergeCell ref="I41:I43"/>
    <mergeCell ref="K41:K43"/>
    <mergeCell ref="F15:F16"/>
    <mergeCell ref="G41:G43"/>
    <mergeCell ref="A30:A37"/>
    <mergeCell ref="C30:C37"/>
    <mergeCell ref="K30:K37"/>
    <mergeCell ref="A41:A43"/>
    <mergeCell ref="A1:N5"/>
    <mergeCell ref="D28:D29"/>
    <mergeCell ref="B15:B16"/>
    <mergeCell ref="D15:D16"/>
    <mergeCell ref="K17:K18"/>
    <mergeCell ref="K28:M28"/>
    <mergeCell ref="F28:F29"/>
    <mergeCell ref="N28:N29"/>
    <mergeCell ref="H15:H16"/>
    <mergeCell ref="G28:J28"/>
    <mergeCell ref="E15:E16"/>
    <mergeCell ref="G15:G16"/>
    <mergeCell ref="B28:B29"/>
    <mergeCell ref="N41:O42"/>
    <mergeCell ref="A28:A29"/>
    <mergeCell ref="C28:C29"/>
    <mergeCell ref="B30:B37"/>
    <mergeCell ref="A15:A16"/>
    <mergeCell ref="D30:D37"/>
    <mergeCell ref="C15:C16"/>
    <mergeCell ref="D41:D43"/>
    <mergeCell ref="K15:K16"/>
    <mergeCell ref="F41:F43"/>
    <mergeCell ref="J41:J43"/>
    <mergeCell ref="L41:M42"/>
    <mergeCell ref="F30:F37"/>
    <mergeCell ref="B41:B43"/>
    <mergeCell ref="H41:H43"/>
    <mergeCell ref="C41:C43"/>
  </mergeCells>
  <pageMargins left="0.118110236220472" right="0" top="0.15748031496063" bottom="0" header="0.31496062992126" footer="0.31496062992126"/>
  <pageSetup scale="70"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83"/>
  <sheetViews>
    <sheetView workbookViewId="0">
      <selection activeCell="T29" sqref="A1:XFD1048576"/>
    </sheetView>
  </sheetViews>
  <sheetFormatPr defaultRowHeight="14.4"/>
  <cols>
    <col min="1" max="1" width="15.6640625" style="82" customWidth="1"/>
    <col min="2" max="2" width="54" style="14" customWidth="1"/>
    <col min="3" max="20" width="3.21875" style="14" customWidth="1"/>
    <col min="21" max="26" width="5.44140625" style="14" customWidth="1"/>
    <col min="27" max="27" width="8.88671875" style="14"/>
    <col min="28" max="28" width="15.44140625" style="14" customWidth="1"/>
    <col min="29" max="16384" width="8.88671875" style="14"/>
  </cols>
  <sheetData>
    <row r="1" spans="1:26" ht="15" customHeight="1">
      <c r="A1" s="11" t="s">
        <v>74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3"/>
      <c r="X1" s="13"/>
      <c r="Y1" s="13"/>
      <c r="Z1" s="13"/>
    </row>
    <row r="2" spans="1:26" ht="15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3"/>
      <c r="X2" s="13"/>
      <c r="Y2" s="13"/>
      <c r="Z2" s="13"/>
    </row>
    <row r="3" spans="1:26" ht="1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3"/>
      <c r="X3" s="13"/>
      <c r="Y3" s="13"/>
      <c r="Z3" s="13"/>
    </row>
    <row r="4" spans="1:26" ht="1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3"/>
      <c r="X4" s="13"/>
      <c r="Y4" s="13"/>
      <c r="Z4" s="13"/>
    </row>
    <row r="5" spans="1:26" ht="15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3"/>
      <c r="X5" s="13"/>
      <c r="Y5" s="13"/>
      <c r="Z5" s="13"/>
    </row>
    <row r="6" spans="1:26" ht="30" customHeight="1">
      <c r="A6" s="15" t="s">
        <v>75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s="23" customFormat="1" ht="26.25" customHeight="1">
      <c r="A7" s="16" t="s">
        <v>75</v>
      </c>
      <c r="B7" s="12"/>
      <c r="C7" s="17" t="s">
        <v>76</v>
      </c>
      <c r="D7" s="14"/>
      <c r="E7" s="18"/>
      <c r="F7" s="18"/>
      <c r="G7" s="19" t="str">
        <f>'ใบงาน Agilent_JOB 12'!F7</f>
        <v>xxxx</v>
      </c>
      <c r="H7" s="12"/>
      <c r="I7" s="12"/>
      <c r="J7" s="12"/>
      <c r="K7" s="12"/>
      <c r="L7" s="18"/>
      <c r="M7" s="18"/>
      <c r="N7" s="18"/>
      <c r="O7" s="18"/>
      <c r="P7" s="18"/>
      <c r="Q7" s="18"/>
      <c r="R7" s="18"/>
      <c r="S7" s="20" t="s">
        <v>6</v>
      </c>
      <c r="T7" s="14"/>
      <c r="U7" s="14"/>
      <c r="V7" s="14"/>
      <c r="W7" s="55" t="str">
        <f>'ใบงาน Agilent_JOB 12'!M7</f>
        <v>xxxx</v>
      </c>
      <c r="X7" s="55"/>
      <c r="Y7" s="55"/>
      <c r="Z7" s="55"/>
    </row>
    <row r="8" spans="1:26" s="23" customFormat="1" ht="19.5" customHeight="1">
      <c r="A8" s="50" t="s">
        <v>77</v>
      </c>
      <c r="B8" s="25" t="str">
        <f>'[1]ใบงาน Agilent_JOB 1.1'!F9</f>
        <v>K9801-60079</v>
      </c>
      <c r="C8" s="27" t="s">
        <v>78</v>
      </c>
      <c r="D8" s="27"/>
      <c r="E8" s="27"/>
      <c r="F8" s="27"/>
      <c r="G8" s="26" t="str">
        <f>'[2]ใบงาน Agilent_JOB 2.1'!F10</f>
        <v>K9801-60082</v>
      </c>
      <c r="H8" s="12"/>
      <c r="I8" s="12"/>
      <c r="J8" s="12"/>
      <c r="K8" s="27"/>
      <c r="L8" s="27"/>
      <c r="M8" s="27"/>
      <c r="N8" s="27"/>
      <c r="O8" s="27"/>
      <c r="P8" s="27"/>
      <c r="Q8" s="27"/>
      <c r="R8" s="27"/>
      <c r="S8" s="27"/>
      <c r="T8" s="27"/>
      <c r="U8" s="14"/>
      <c r="V8" s="14"/>
      <c r="W8" s="14"/>
      <c r="X8" s="14"/>
      <c r="Y8" s="14"/>
      <c r="Z8" s="14"/>
    </row>
    <row r="9" spans="1:26" s="23" customFormat="1" ht="19.2" customHeight="1">
      <c r="A9" s="16" t="s">
        <v>72</v>
      </c>
      <c r="B9" s="12"/>
      <c r="C9" s="14"/>
      <c r="D9" s="14"/>
      <c r="E9" s="14"/>
      <c r="F9" s="14"/>
      <c r="G9" s="26" t="str">
        <f>'[2]ใบงาน Agilent_JOB 2.2'!F10</f>
        <v>K9801-60083</v>
      </c>
      <c r="H9" s="12"/>
      <c r="I9" s="12"/>
      <c r="J9" s="12"/>
      <c r="K9" s="14"/>
      <c r="L9" s="18"/>
      <c r="M9" s="18"/>
      <c r="N9" s="18"/>
      <c r="O9" s="18"/>
      <c r="P9" s="18"/>
      <c r="Q9" s="18"/>
      <c r="R9" s="18"/>
      <c r="S9" s="14"/>
      <c r="T9" s="14"/>
      <c r="U9" s="14"/>
      <c r="V9" s="14"/>
      <c r="W9" s="14"/>
      <c r="X9" s="14"/>
      <c r="Y9" s="14"/>
      <c r="Z9" s="14"/>
    </row>
    <row r="10" spans="1:26" s="23" customFormat="1" ht="13.5" customHeight="1">
      <c r="A10" s="50" t="s">
        <v>79</v>
      </c>
      <c r="B10" s="56">
        <f>'ใบงาน Agilent_JOB 12'!N8</f>
        <v>0</v>
      </c>
      <c r="C10" s="18"/>
      <c r="D10" s="19" t="s">
        <v>72</v>
      </c>
      <c r="E10" s="12"/>
      <c r="F10" s="12"/>
      <c r="G10" s="29" t="s">
        <v>72</v>
      </c>
      <c r="H10" s="12"/>
      <c r="I10" s="12"/>
      <c r="J10" s="12"/>
      <c r="K10" s="17"/>
      <c r="L10" s="18"/>
      <c r="M10" s="18"/>
      <c r="N10" s="18"/>
      <c r="O10" s="18"/>
      <c r="P10" s="18"/>
      <c r="Q10" s="18"/>
      <c r="R10" s="18"/>
      <c r="S10" s="14"/>
      <c r="T10" s="14"/>
      <c r="U10" s="14"/>
      <c r="V10" s="14"/>
      <c r="W10" s="14"/>
      <c r="X10" s="14"/>
      <c r="Y10" s="14"/>
      <c r="Z10" s="14"/>
    </row>
    <row r="11" spans="1:26" s="23" customFormat="1" ht="13.8" customHeight="1">
      <c r="A11" s="18"/>
      <c r="B11" s="57"/>
      <c r="C11" s="18"/>
      <c r="D11" s="18"/>
      <c r="E11" s="18"/>
      <c r="F11" s="18"/>
      <c r="G11" s="29" t="s">
        <v>72</v>
      </c>
      <c r="H11" s="12"/>
      <c r="I11" s="12"/>
      <c r="J11" s="12"/>
      <c r="K11" s="18"/>
      <c r="L11" s="18"/>
      <c r="M11" s="18"/>
      <c r="N11" s="18"/>
      <c r="O11" s="18"/>
      <c r="P11" s="18"/>
      <c r="Q11" s="18"/>
      <c r="R11" s="18"/>
      <c r="S11" s="31"/>
      <c r="T11" s="12"/>
      <c r="U11" s="12"/>
      <c r="V11" s="12"/>
      <c r="W11" s="14"/>
      <c r="X11" s="14"/>
      <c r="Y11" s="14"/>
      <c r="Z11" s="14"/>
    </row>
    <row r="12" spans="1:26" s="23" customFormat="1" ht="13.8" customHeight="1">
      <c r="A12" s="18" t="s">
        <v>80</v>
      </c>
      <c r="B12" s="57"/>
      <c r="C12" s="18"/>
      <c r="D12" s="18"/>
      <c r="E12" s="18"/>
      <c r="F12" s="18"/>
      <c r="G12" s="29" t="s">
        <v>72</v>
      </c>
      <c r="H12" s="12"/>
      <c r="I12" s="12"/>
      <c r="J12" s="12"/>
      <c r="K12" s="18"/>
      <c r="L12" s="18"/>
      <c r="M12" s="18"/>
      <c r="N12" s="18"/>
      <c r="O12" s="18"/>
      <c r="P12" s="18"/>
      <c r="Q12" s="18"/>
      <c r="R12" s="18"/>
      <c r="S12" s="12"/>
      <c r="T12" s="12"/>
      <c r="U12" s="12"/>
      <c r="V12" s="12"/>
      <c r="W12" s="14"/>
      <c r="X12" s="14"/>
      <c r="Y12" s="14"/>
      <c r="Z12" s="14"/>
    </row>
    <row r="13" spans="1:26" s="23" customFormat="1" ht="13.8" customHeight="1">
      <c r="A13" s="18"/>
      <c r="B13" s="57"/>
      <c r="C13" s="18"/>
      <c r="D13" s="18"/>
      <c r="E13" s="18"/>
      <c r="F13" s="18"/>
      <c r="G13" s="17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4"/>
      <c r="V13" s="14"/>
      <c r="W13" s="14"/>
      <c r="X13" s="14"/>
      <c r="Y13" s="14"/>
      <c r="Z13" s="14"/>
    </row>
    <row r="14" spans="1:26" s="23" customFormat="1" ht="13.8" customHeight="1">
      <c r="A14" s="33" t="s">
        <v>23</v>
      </c>
      <c r="B14" s="33" t="s">
        <v>81</v>
      </c>
      <c r="C14" s="34" t="s">
        <v>82</v>
      </c>
      <c r="D14" s="35"/>
      <c r="E14" s="35"/>
      <c r="F14" s="35"/>
      <c r="G14" s="35"/>
      <c r="H14" s="36"/>
      <c r="I14" s="34" t="s">
        <v>53</v>
      </c>
      <c r="J14" s="35"/>
      <c r="K14" s="35"/>
      <c r="L14" s="35"/>
      <c r="M14" s="35"/>
      <c r="N14" s="36"/>
      <c r="O14" s="34" t="s">
        <v>54</v>
      </c>
      <c r="P14" s="35"/>
      <c r="Q14" s="35"/>
      <c r="R14" s="35"/>
      <c r="S14" s="35"/>
      <c r="T14" s="36"/>
      <c r="U14" s="37" t="s">
        <v>83</v>
      </c>
      <c r="V14" s="35"/>
      <c r="W14" s="35"/>
      <c r="X14" s="35"/>
      <c r="Y14" s="35"/>
      <c r="Z14" s="36"/>
    </row>
    <row r="15" spans="1:26" s="23" customFormat="1" ht="13.8" customHeight="1">
      <c r="A15" s="38"/>
      <c r="B15" s="38"/>
      <c r="C15" s="39"/>
      <c r="D15" s="32"/>
      <c r="E15" s="32"/>
      <c r="F15" s="32"/>
      <c r="G15" s="32"/>
      <c r="H15" s="40"/>
      <c r="I15" s="39"/>
      <c r="J15" s="32"/>
      <c r="K15" s="32"/>
      <c r="L15" s="32"/>
      <c r="M15" s="32"/>
      <c r="N15" s="40"/>
      <c r="O15" s="39"/>
      <c r="P15" s="32"/>
      <c r="Q15" s="32"/>
      <c r="R15" s="32"/>
      <c r="S15" s="32"/>
      <c r="T15" s="40"/>
      <c r="U15" s="39"/>
      <c r="V15" s="32"/>
      <c r="W15" s="32"/>
      <c r="X15" s="32"/>
      <c r="Y15" s="32"/>
      <c r="Z15" s="40"/>
    </row>
    <row r="16" spans="1:26" s="46" customFormat="1" ht="35.700000000000003" customHeight="1">
      <c r="A16" s="48">
        <v>1</v>
      </c>
      <c r="B16" s="49" t="s">
        <v>84</v>
      </c>
      <c r="C16" s="43"/>
      <c r="D16" s="44"/>
      <c r="E16" s="44"/>
      <c r="F16" s="44"/>
      <c r="G16" s="44"/>
      <c r="H16" s="45"/>
      <c r="I16" s="43" t="s">
        <v>72</v>
      </c>
      <c r="J16" s="44"/>
      <c r="K16" s="44"/>
      <c r="L16" s="44"/>
      <c r="M16" s="44"/>
      <c r="N16" s="45"/>
      <c r="O16" s="43"/>
      <c r="P16" s="44"/>
      <c r="Q16" s="44"/>
      <c r="R16" s="44"/>
      <c r="S16" s="44"/>
      <c r="T16" s="45"/>
      <c r="U16" s="43"/>
      <c r="V16" s="44"/>
      <c r="W16" s="44"/>
      <c r="X16" s="44"/>
      <c r="Y16" s="44"/>
      <c r="Z16" s="45"/>
    </row>
    <row r="17" spans="1:26" s="46" customFormat="1" ht="22.5" customHeight="1">
      <c r="A17" s="41">
        <v>2</v>
      </c>
      <c r="B17" s="42" t="s">
        <v>85</v>
      </c>
      <c r="C17" s="43"/>
      <c r="D17" s="44"/>
      <c r="E17" s="44"/>
      <c r="F17" s="44"/>
      <c r="G17" s="44"/>
      <c r="H17" s="45"/>
      <c r="I17" s="43"/>
      <c r="J17" s="44"/>
      <c r="K17" s="44"/>
      <c r="L17" s="44"/>
      <c r="M17" s="44"/>
      <c r="N17" s="45"/>
      <c r="O17" s="43"/>
      <c r="P17" s="44"/>
      <c r="Q17" s="44"/>
      <c r="R17" s="44"/>
      <c r="S17" s="44"/>
      <c r="T17" s="45"/>
      <c r="U17" s="43"/>
      <c r="V17" s="44"/>
      <c r="W17" s="44"/>
      <c r="X17" s="44"/>
      <c r="Y17" s="44"/>
      <c r="Z17" s="45"/>
    </row>
    <row r="18" spans="1:26" s="46" customFormat="1" ht="22.5" customHeight="1">
      <c r="A18" s="47"/>
      <c r="B18" s="42" t="s">
        <v>86</v>
      </c>
      <c r="C18" s="43"/>
      <c r="D18" s="44"/>
      <c r="E18" s="44"/>
      <c r="F18" s="44"/>
      <c r="G18" s="44"/>
      <c r="H18" s="45"/>
      <c r="I18" s="43"/>
      <c r="J18" s="44"/>
      <c r="K18" s="44"/>
      <c r="L18" s="44"/>
      <c r="M18" s="44"/>
      <c r="N18" s="45"/>
      <c r="O18" s="43"/>
      <c r="P18" s="44"/>
      <c r="Q18" s="44"/>
      <c r="R18" s="44"/>
      <c r="S18" s="44"/>
      <c r="T18" s="45"/>
      <c r="U18" s="43"/>
      <c r="V18" s="44"/>
      <c r="W18" s="44"/>
      <c r="X18" s="44"/>
      <c r="Y18" s="44"/>
      <c r="Z18" s="45"/>
    </row>
    <row r="19" spans="1:26" s="46" customFormat="1" ht="22.5" customHeight="1">
      <c r="A19" s="47"/>
      <c r="B19" s="42" t="s">
        <v>87</v>
      </c>
      <c r="C19" s="43"/>
      <c r="D19" s="44"/>
      <c r="E19" s="44"/>
      <c r="F19" s="44"/>
      <c r="G19" s="44"/>
      <c r="H19" s="45"/>
      <c r="I19" s="43"/>
      <c r="J19" s="44"/>
      <c r="K19" s="44"/>
      <c r="L19" s="44"/>
      <c r="M19" s="44"/>
      <c r="N19" s="45"/>
      <c r="O19" s="43"/>
      <c r="P19" s="44"/>
      <c r="Q19" s="44"/>
      <c r="R19" s="44"/>
      <c r="S19" s="44"/>
      <c r="T19" s="45"/>
      <c r="U19" s="43"/>
      <c r="V19" s="44"/>
      <c r="W19" s="44"/>
      <c r="X19" s="44"/>
      <c r="Y19" s="44"/>
      <c r="Z19" s="45"/>
    </row>
    <row r="20" spans="1:26" s="46" customFormat="1" ht="22.5" customHeight="1">
      <c r="A20" s="47"/>
      <c r="B20" s="42" t="s">
        <v>88</v>
      </c>
      <c r="C20" s="43"/>
      <c r="D20" s="44"/>
      <c r="E20" s="44"/>
      <c r="F20" s="44"/>
      <c r="G20" s="44"/>
      <c r="H20" s="45"/>
      <c r="I20" s="43"/>
      <c r="J20" s="44"/>
      <c r="K20" s="44"/>
      <c r="L20" s="44"/>
      <c r="M20" s="44"/>
      <c r="N20" s="45"/>
      <c r="O20" s="43"/>
      <c r="P20" s="44"/>
      <c r="Q20" s="44"/>
      <c r="R20" s="44"/>
      <c r="S20" s="44"/>
      <c r="T20" s="45"/>
      <c r="U20" s="43"/>
      <c r="V20" s="44"/>
      <c r="W20" s="44"/>
      <c r="X20" s="44"/>
      <c r="Y20" s="44"/>
      <c r="Z20" s="45"/>
    </row>
    <row r="21" spans="1:26" s="46" customFormat="1" ht="22.5" customHeight="1">
      <c r="A21" s="38"/>
      <c r="B21" s="42" t="s">
        <v>89</v>
      </c>
      <c r="C21" s="43"/>
      <c r="D21" s="44"/>
      <c r="E21" s="44"/>
      <c r="F21" s="44"/>
      <c r="G21" s="44"/>
      <c r="H21" s="45"/>
      <c r="I21" s="43"/>
      <c r="J21" s="44"/>
      <c r="K21" s="44"/>
      <c r="L21" s="44"/>
      <c r="M21" s="44"/>
      <c r="N21" s="45"/>
      <c r="O21" s="43"/>
      <c r="P21" s="44"/>
      <c r="Q21" s="44"/>
      <c r="R21" s="44"/>
      <c r="S21" s="44"/>
      <c r="T21" s="45"/>
      <c r="U21" s="43"/>
      <c r="V21" s="44"/>
      <c r="W21" s="44"/>
      <c r="X21" s="44"/>
      <c r="Y21" s="44"/>
      <c r="Z21" s="45"/>
    </row>
    <row r="22" spans="1:26" s="46" customFormat="1" ht="22.5" customHeight="1">
      <c r="A22" s="48">
        <v>3</v>
      </c>
      <c r="B22" s="49" t="s">
        <v>90</v>
      </c>
      <c r="C22" s="43"/>
      <c r="D22" s="44"/>
      <c r="E22" s="44"/>
      <c r="F22" s="44"/>
      <c r="G22" s="44"/>
      <c r="H22" s="45"/>
      <c r="I22" s="43"/>
      <c r="J22" s="44"/>
      <c r="K22" s="44"/>
      <c r="L22" s="44"/>
      <c r="M22" s="44"/>
      <c r="N22" s="45"/>
      <c r="O22" s="43"/>
      <c r="P22" s="44"/>
      <c r="Q22" s="44"/>
      <c r="R22" s="44"/>
      <c r="S22" s="44"/>
      <c r="T22" s="45"/>
      <c r="U22" s="43"/>
      <c r="V22" s="44"/>
      <c r="W22" s="44"/>
      <c r="X22" s="44"/>
      <c r="Y22" s="44"/>
      <c r="Z22" s="45"/>
    </row>
    <row r="23" spans="1:26" s="46" customFormat="1" ht="22.5" customHeight="1">
      <c r="A23" s="48">
        <v>4</v>
      </c>
      <c r="B23" s="49" t="s">
        <v>91</v>
      </c>
      <c r="C23" s="43"/>
      <c r="D23" s="44"/>
      <c r="E23" s="44"/>
      <c r="F23" s="44"/>
      <c r="G23" s="44"/>
      <c r="H23" s="45"/>
      <c r="I23" s="43"/>
      <c r="J23" s="44"/>
      <c r="K23" s="44"/>
      <c r="L23" s="44"/>
      <c r="M23" s="44"/>
      <c r="N23" s="45"/>
      <c r="O23" s="43"/>
      <c r="P23" s="44"/>
      <c r="Q23" s="44"/>
      <c r="R23" s="44"/>
      <c r="S23" s="44"/>
      <c r="T23" s="45"/>
      <c r="U23" s="43"/>
      <c r="V23" s="44"/>
      <c r="W23" s="44"/>
      <c r="X23" s="44"/>
      <c r="Y23" s="44"/>
      <c r="Z23" s="45"/>
    </row>
    <row r="24" spans="1:26" s="46" customFormat="1" ht="22.5" customHeight="1">
      <c r="A24" s="48">
        <v>5</v>
      </c>
      <c r="B24" s="49" t="s">
        <v>92</v>
      </c>
      <c r="C24" s="43"/>
      <c r="D24" s="44"/>
      <c r="E24" s="44"/>
      <c r="F24" s="44"/>
      <c r="G24" s="44"/>
      <c r="H24" s="45"/>
      <c r="I24" s="43"/>
      <c r="J24" s="44"/>
      <c r="K24" s="44"/>
      <c r="L24" s="44"/>
      <c r="M24" s="44"/>
      <c r="N24" s="45"/>
      <c r="O24" s="43"/>
      <c r="P24" s="44"/>
      <c r="Q24" s="44"/>
      <c r="R24" s="44"/>
      <c r="S24" s="44"/>
      <c r="T24" s="45"/>
      <c r="U24" s="43"/>
      <c r="V24" s="44"/>
      <c r="W24" s="44"/>
      <c r="X24" s="44"/>
      <c r="Y24" s="44"/>
      <c r="Z24" s="45"/>
    </row>
    <row r="25" spans="1:26" s="46" customFormat="1" ht="20.7" customHeight="1">
      <c r="A25" s="48">
        <v>6</v>
      </c>
      <c r="B25" s="49" t="s">
        <v>93</v>
      </c>
      <c r="C25" s="43"/>
      <c r="D25" s="44"/>
      <c r="E25" s="44"/>
      <c r="F25" s="44"/>
      <c r="G25" s="44"/>
      <c r="H25" s="45"/>
      <c r="I25" s="43"/>
      <c r="J25" s="44"/>
      <c r="K25" s="44"/>
      <c r="L25" s="44"/>
      <c r="M25" s="44"/>
      <c r="N25" s="45"/>
      <c r="O25" s="43"/>
      <c r="P25" s="44"/>
      <c r="Q25" s="44"/>
      <c r="R25" s="44"/>
      <c r="S25" s="44"/>
      <c r="T25" s="45"/>
      <c r="U25" s="43"/>
      <c r="V25" s="44"/>
      <c r="W25" s="44"/>
      <c r="X25" s="44"/>
      <c r="Y25" s="44"/>
      <c r="Z25" s="45"/>
    </row>
    <row r="26" spans="1:26" s="23" customFormat="1" ht="13.8" customHeight="1">
      <c r="A26" s="50"/>
      <c r="B26" s="14"/>
      <c r="C26" s="51"/>
      <c r="D26" s="12"/>
      <c r="E26" s="12"/>
      <c r="F26" s="12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s="23" customFormat="1" ht="15.6" customHeight="1">
      <c r="A27" s="58" t="s">
        <v>94</v>
      </c>
      <c r="B27" s="44"/>
      <c r="C27" s="44"/>
      <c r="D27" s="44"/>
      <c r="E27" s="44"/>
      <c r="F27" s="44"/>
      <c r="G27" s="44"/>
      <c r="H27" s="44"/>
      <c r="I27" s="44"/>
      <c r="J27" s="45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s="54" customFormat="1" ht="15" customHeight="1">
      <c r="A28" s="59" t="s">
        <v>95</v>
      </c>
      <c r="B28" s="45"/>
      <c r="C28" s="60" t="s">
        <v>96</v>
      </c>
      <c r="D28" s="44"/>
      <c r="E28" s="44"/>
      <c r="F28" s="45"/>
      <c r="G28" s="60" t="s">
        <v>97</v>
      </c>
      <c r="H28" s="44"/>
      <c r="I28" s="44"/>
      <c r="J28" s="45"/>
      <c r="K28" s="14"/>
      <c r="L28" s="53" t="s">
        <v>72</v>
      </c>
      <c r="M28" s="12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s="54" customFormat="1" ht="15" customHeight="1">
      <c r="A29" s="59" t="s">
        <v>98</v>
      </c>
      <c r="B29" s="45"/>
      <c r="C29" s="61">
        <v>10</v>
      </c>
      <c r="D29" s="44"/>
      <c r="E29" s="44"/>
      <c r="F29" s="45"/>
      <c r="G29" s="61">
        <v>10</v>
      </c>
      <c r="H29" s="44"/>
      <c r="I29" s="44"/>
      <c r="J29" s="45"/>
      <c r="K29" s="14"/>
      <c r="L29" s="53"/>
      <c r="M29" s="12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s="54" customFormat="1" ht="15" customHeight="1">
      <c r="A30" s="59" t="s">
        <v>99</v>
      </c>
      <c r="B30" s="45"/>
      <c r="C30" s="61">
        <v>20</v>
      </c>
      <c r="D30" s="44"/>
      <c r="E30" s="44"/>
      <c r="F30" s="45"/>
      <c r="G30" s="61">
        <v>20</v>
      </c>
      <c r="H30" s="44"/>
      <c r="I30" s="44"/>
      <c r="J30" s="45"/>
      <c r="K30" s="14"/>
      <c r="L30" s="53"/>
      <c r="M30" s="12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s="54" customFormat="1" ht="15" customHeight="1">
      <c r="A31" s="59" t="s">
        <v>100</v>
      </c>
      <c r="B31" s="45"/>
      <c r="C31" s="61">
        <v>30</v>
      </c>
      <c r="D31" s="44"/>
      <c r="E31" s="44"/>
      <c r="F31" s="45"/>
      <c r="G31" s="61">
        <v>30</v>
      </c>
      <c r="H31" s="44"/>
      <c r="I31" s="44"/>
      <c r="J31" s="45"/>
      <c r="K31" s="14"/>
      <c r="L31" s="53"/>
      <c r="M31" s="12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s="54" customFormat="1" ht="15" customHeight="1">
      <c r="A32" s="59" t="s">
        <v>101</v>
      </c>
      <c r="B32" s="45"/>
      <c r="C32" s="61">
        <v>40</v>
      </c>
      <c r="D32" s="44"/>
      <c r="E32" s="44"/>
      <c r="F32" s="45"/>
      <c r="G32" s="61">
        <v>40</v>
      </c>
      <c r="H32" s="44"/>
      <c r="I32" s="44"/>
      <c r="J32" s="45"/>
      <c r="K32" s="14"/>
      <c r="L32" s="53"/>
      <c r="M32" s="12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s="54" customFormat="1" ht="15" customHeight="1">
      <c r="A33" s="59" t="s">
        <v>102</v>
      </c>
      <c r="B33" s="45"/>
      <c r="C33" s="61">
        <v>50</v>
      </c>
      <c r="D33" s="44"/>
      <c r="E33" s="44"/>
      <c r="F33" s="45"/>
      <c r="G33" s="61">
        <v>50</v>
      </c>
      <c r="H33" s="44"/>
      <c r="I33" s="44"/>
      <c r="J33" s="45"/>
      <c r="K33" s="14"/>
      <c r="L33" s="53"/>
      <c r="M33" s="12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s="54" customFormat="1" ht="15" customHeight="1">
      <c r="A34" s="59" t="s">
        <v>103</v>
      </c>
      <c r="B34" s="45"/>
      <c r="C34" s="61">
        <v>100</v>
      </c>
      <c r="D34" s="44"/>
      <c r="E34" s="44"/>
      <c r="F34" s="45"/>
      <c r="G34" s="61">
        <v>100</v>
      </c>
      <c r="H34" s="44"/>
      <c r="I34" s="44"/>
      <c r="J34" s="45"/>
      <c r="K34" s="14"/>
      <c r="L34" s="53"/>
      <c r="M34" s="12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s="54" customFormat="1" ht="15" customHeight="1">
      <c r="A35" s="59" t="s">
        <v>104</v>
      </c>
      <c r="B35" s="45"/>
      <c r="C35" s="61">
        <v>200</v>
      </c>
      <c r="D35" s="44"/>
      <c r="E35" s="44"/>
      <c r="F35" s="45"/>
      <c r="G35" s="61">
        <v>200</v>
      </c>
      <c r="H35" s="44"/>
      <c r="I35" s="44"/>
      <c r="J35" s="45"/>
      <c r="K35" s="14"/>
      <c r="L35" s="53"/>
      <c r="M35" s="12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s="54" customFormat="1" ht="15" customHeight="1">
      <c r="A36" s="59" t="s">
        <v>105</v>
      </c>
      <c r="B36" s="45"/>
      <c r="C36" s="61" t="s">
        <v>106</v>
      </c>
      <c r="D36" s="44"/>
      <c r="E36" s="44"/>
      <c r="F36" s="44"/>
      <c r="G36" s="44"/>
      <c r="H36" s="44"/>
      <c r="I36" s="44"/>
      <c r="J36" s="45"/>
      <c r="K36" s="14"/>
      <c r="L36" s="53"/>
      <c r="M36" s="12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s="54" customFormat="1" ht="15" customHeight="1">
      <c r="A37" s="52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53"/>
      <c r="M37" s="12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s="54" customFormat="1" ht="15" customHeight="1">
      <c r="A38" s="52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53"/>
      <c r="M38" s="12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s="23" customFormat="1" ht="13.8" customHeight="1">
      <c r="A39" s="50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51"/>
      <c r="M39" s="12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s="23" customFormat="1" ht="13.8" customHeight="1">
      <c r="A40" s="50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51"/>
      <c r="M40" s="12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s="23" customFormat="1" ht="13.8" customHeight="1">
      <c r="A41" s="50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51"/>
      <c r="M41" s="12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s="54" customFormat="1" ht="19.2" customHeight="1">
      <c r="A42" s="62" t="s">
        <v>107</v>
      </c>
      <c r="B42" s="63" t="s">
        <v>108</v>
      </c>
      <c r="C42" s="64" t="s">
        <v>109</v>
      </c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5"/>
      <c r="O42" s="65" t="s">
        <v>110</v>
      </c>
      <c r="P42" s="44"/>
      <c r="Q42" s="44"/>
      <c r="R42" s="44"/>
      <c r="S42" s="45"/>
      <c r="T42" s="65" t="s">
        <v>111</v>
      </c>
      <c r="U42" s="44"/>
      <c r="V42" s="44"/>
      <c r="W42" s="45"/>
      <c r="X42" s="66" t="s">
        <v>112</v>
      </c>
      <c r="Y42" s="44"/>
      <c r="Z42" s="45"/>
    </row>
    <row r="43" spans="1:26" s="23" customFormat="1" ht="16.5" customHeight="1">
      <c r="A43" s="67" t="s">
        <v>113</v>
      </c>
      <c r="B43" s="62" t="s">
        <v>114</v>
      </c>
      <c r="C43" s="68" t="s">
        <v>115</v>
      </c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5"/>
      <c r="O43" s="69" t="s">
        <v>116</v>
      </c>
      <c r="P43" s="44"/>
      <c r="Q43" s="44"/>
      <c r="R43" s="44"/>
      <c r="S43" s="45"/>
      <c r="T43" s="69" t="s">
        <v>117</v>
      </c>
      <c r="U43" s="44"/>
      <c r="V43" s="44"/>
      <c r="W43" s="45"/>
      <c r="X43" s="69">
        <v>1</v>
      </c>
      <c r="Y43" s="44"/>
      <c r="Z43" s="45"/>
    </row>
    <row r="44" spans="1:26" s="23" customFormat="1" ht="16.5" customHeight="1">
      <c r="A44" s="47"/>
      <c r="B44" s="62" t="s">
        <v>118</v>
      </c>
      <c r="C44" s="68" t="s">
        <v>119</v>
      </c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5"/>
      <c r="O44" s="69" t="s">
        <v>116</v>
      </c>
      <c r="P44" s="44"/>
      <c r="Q44" s="44"/>
      <c r="R44" s="44"/>
      <c r="S44" s="45"/>
      <c r="T44" s="69" t="s">
        <v>120</v>
      </c>
      <c r="U44" s="44"/>
      <c r="V44" s="44"/>
      <c r="W44" s="45"/>
      <c r="X44" s="69">
        <v>1</v>
      </c>
      <c r="Y44" s="44"/>
      <c r="Z44" s="45"/>
    </row>
    <row r="45" spans="1:26" s="23" customFormat="1" ht="16.5" customHeight="1">
      <c r="A45" s="47"/>
      <c r="B45" s="62" t="s">
        <v>121</v>
      </c>
      <c r="C45" s="68" t="s">
        <v>122</v>
      </c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5"/>
      <c r="O45" s="69" t="s">
        <v>123</v>
      </c>
      <c r="P45" s="44"/>
      <c r="Q45" s="44"/>
      <c r="R45" s="44"/>
      <c r="S45" s="45"/>
      <c r="T45" s="69" t="s">
        <v>124</v>
      </c>
      <c r="U45" s="44"/>
      <c r="V45" s="44"/>
      <c r="W45" s="45"/>
      <c r="X45" s="69">
        <v>6</v>
      </c>
      <c r="Y45" s="44"/>
      <c r="Z45" s="45"/>
    </row>
    <row r="46" spans="1:26" s="23" customFormat="1" ht="16.5" customHeight="1">
      <c r="A46" s="47"/>
      <c r="B46" s="62" t="s">
        <v>125</v>
      </c>
      <c r="C46" s="68" t="s">
        <v>126</v>
      </c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5"/>
      <c r="O46" s="69" t="s">
        <v>19</v>
      </c>
      <c r="P46" s="44"/>
      <c r="Q46" s="44"/>
      <c r="R46" s="44"/>
      <c r="S46" s="45"/>
      <c r="T46" s="69" t="s">
        <v>11</v>
      </c>
      <c r="U46" s="44"/>
      <c r="V46" s="44"/>
      <c r="W46" s="45"/>
      <c r="X46" s="69">
        <v>6</v>
      </c>
      <c r="Y46" s="44"/>
      <c r="Z46" s="45"/>
    </row>
    <row r="47" spans="1:26" s="23" customFormat="1" ht="16.5" customHeight="1">
      <c r="A47" s="38"/>
      <c r="B47" s="62" t="s">
        <v>127</v>
      </c>
      <c r="C47" s="68" t="s">
        <v>128</v>
      </c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5"/>
      <c r="O47" s="69" t="s">
        <v>19</v>
      </c>
      <c r="P47" s="44"/>
      <c r="Q47" s="44"/>
      <c r="R47" s="44"/>
      <c r="S47" s="45"/>
      <c r="T47" s="69" t="s">
        <v>129</v>
      </c>
      <c r="U47" s="44"/>
      <c r="V47" s="44"/>
      <c r="W47" s="45"/>
      <c r="X47" s="69">
        <v>6</v>
      </c>
      <c r="Y47" s="44"/>
      <c r="Z47" s="45"/>
    </row>
    <row r="48" spans="1:26" s="23" customFormat="1" ht="16.5" customHeight="1">
      <c r="A48" s="70" t="s">
        <v>130</v>
      </c>
      <c r="B48" s="62" t="s">
        <v>131</v>
      </c>
      <c r="C48" s="68" t="s">
        <v>132</v>
      </c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5"/>
      <c r="O48" s="69" t="s">
        <v>133</v>
      </c>
      <c r="P48" s="44"/>
      <c r="Q48" s="44"/>
      <c r="R48" s="44"/>
      <c r="S48" s="45"/>
      <c r="T48" s="69" t="s">
        <v>134</v>
      </c>
      <c r="U48" s="44"/>
      <c r="V48" s="44"/>
      <c r="W48" s="45"/>
      <c r="X48" s="69">
        <v>2</v>
      </c>
      <c r="Y48" s="44"/>
      <c r="Z48" s="45"/>
    </row>
    <row r="49" spans="1:26" s="23" customFormat="1" ht="16.5" customHeight="1">
      <c r="A49" s="40"/>
      <c r="B49" s="62" t="s">
        <v>135</v>
      </c>
      <c r="C49" s="68" t="s">
        <v>136</v>
      </c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5"/>
      <c r="O49" s="69" t="s">
        <v>137</v>
      </c>
      <c r="P49" s="44"/>
      <c r="Q49" s="44"/>
      <c r="R49" s="44"/>
      <c r="S49" s="45"/>
      <c r="T49" s="69" t="s">
        <v>138</v>
      </c>
      <c r="U49" s="44"/>
      <c r="V49" s="44"/>
      <c r="W49" s="45"/>
      <c r="X49" s="69">
        <v>1</v>
      </c>
      <c r="Y49" s="44"/>
      <c r="Z49" s="45"/>
    </row>
    <row r="50" spans="1:26" s="23" customFormat="1" ht="16.5" customHeight="1">
      <c r="A50" s="70" t="s">
        <v>139</v>
      </c>
      <c r="B50" s="62" t="s">
        <v>140</v>
      </c>
      <c r="C50" s="68" t="s">
        <v>141</v>
      </c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5"/>
      <c r="O50" s="69" t="s">
        <v>142</v>
      </c>
      <c r="P50" s="44"/>
      <c r="Q50" s="44"/>
      <c r="R50" s="44"/>
      <c r="S50" s="45"/>
      <c r="T50" s="69" t="s">
        <v>143</v>
      </c>
      <c r="U50" s="44"/>
      <c r="V50" s="44"/>
      <c r="W50" s="45"/>
      <c r="X50" s="69">
        <v>1</v>
      </c>
      <c r="Y50" s="44"/>
      <c r="Z50" s="45"/>
    </row>
    <row r="51" spans="1:26" s="23" customFormat="1" ht="16.5" customHeight="1">
      <c r="A51" s="71"/>
      <c r="B51" s="62" t="s">
        <v>144</v>
      </c>
      <c r="C51" s="68" t="s">
        <v>145</v>
      </c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5"/>
      <c r="O51" s="69" t="s">
        <v>142</v>
      </c>
      <c r="P51" s="44"/>
      <c r="Q51" s="44"/>
      <c r="R51" s="44"/>
      <c r="S51" s="45"/>
      <c r="T51" s="69" t="s">
        <v>146</v>
      </c>
      <c r="U51" s="44"/>
      <c r="V51" s="44"/>
      <c r="W51" s="45"/>
      <c r="X51" s="69">
        <v>4</v>
      </c>
      <c r="Y51" s="44"/>
      <c r="Z51" s="45"/>
    </row>
    <row r="52" spans="1:26" s="23" customFormat="1" ht="16.5" customHeight="1">
      <c r="A52" s="71"/>
      <c r="B52" s="62" t="s">
        <v>147</v>
      </c>
      <c r="C52" s="68" t="s">
        <v>148</v>
      </c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5"/>
      <c r="O52" s="69" t="s">
        <v>116</v>
      </c>
      <c r="P52" s="44"/>
      <c r="Q52" s="44"/>
      <c r="R52" s="44"/>
      <c r="S52" s="45"/>
      <c r="T52" s="69" t="s">
        <v>149</v>
      </c>
      <c r="U52" s="44"/>
      <c r="V52" s="44"/>
      <c r="W52" s="45"/>
      <c r="X52" s="69">
        <v>1</v>
      </c>
      <c r="Y52" s="44"/>
      <c r="Z52" s="45"/>
    </row>
    <row r="53" spans="1:26" s="23" customFormat="1" ht="16.5" customHeight="1">
      <c r="A53" s="40"/>
      <c r="B53" s="62" t="s">
        <v>150</v>
      </c>
      <c r="C53" s="68" t="s">
        <v>151</v>
      </c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5"/>
      <c r="O53" s="69" t="s">
        <v>116</v>
      </c>
      <c r="P53" s="44"/>
      <c r="Q53" s="44"/>
      <c r="R53" s="44"/>
      <c r="S53" s="45"/>
      <c r="T53" s="69" t="s">
        <v>152</v>
      </c>
      <c r="U53" s="44"/>
      <c r="V53" s="44"/>
      <c r="W53" s="45"/>
      <c r="X53" s="69">
        <v>1</v>
      </c>
      <c r="Y53" s="44"/>
      <c r="Z53" s="45"/>
    </row>
    <row r="54" spans="1:26" s="23" customFormat="1" ht="16.5" customHeight="1">
      <c r="A54" s="72" t="s">
        <v>153</v>
      </c>
      <c r="B54" s="62" t="s">
        <v>154</v>
      </c>
      <c r="C54" s="68" t="s">
        <v>155</v>
      </c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5"/>
      <c r="O54" s="69" t="s">
        <v>156</v>
      </c>
      <c r="P54" s="44"/>
      <c r="Q54" s="44"/>
      <c r="R54" s="44"/>
      <c r="S54" s="45"/>
      <c r="T54" s="69" t="s">
        <v>157</v>
      </c>
      <c r="U54" s="44"/>
      <c r="V54" s="44"/>
      <c r="W54" s="45"/>
      <c r="X54" s="69">
        <v>1</v>
      </c>
      <c r="Y54" s="44"/>
      <c r="Z54" s="45"/>
    </row>
    <row r="55" spans="1:26" s="23" customFormat="1" ht="16.5" customHeight="1">
      <c r="A55" s="71"/>
      <c r="B55" s="62" t="s">
        <v>158</v>
      </c>
      <c r="C55" s="68" t="s">
        <v>159</v>
      </c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5"/>
      <c r="O55" s="69" t="s">
        <v>142</v>
      </c>
      <c r="P55" s="44"/>
      <c r="Q55" s="44"/>
      <c r="R55" s="44"/>
      <c r="S55" s="45"/>
      <c r="T55" s="69" t="s">
        <v>160</v>
      </c>
      <c r="U55" s="44"/>
      <c r="V55" s="44"/>
      <c r="W55" s="45"/>
      <c r="X55" s="69">
        <v>2</v>
      </c>
      <c r="Y55" s="44"/>
      <c r="Z55" s="45"/>
    </row>
    <row r="56" spans="1:26" s="23" customFormat="1" ht="16.5" customHeight="1">
      <c r="A56" s="71"/>
      <c r="B56" s="62" t="s">
        <v>161</v>
      </c>
      <c r="C56" s="68" t="s">
        <v>162</v>
      </c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5"/>
      <c r="O56" s="69" t="s">
        <v>142</v>
      </c>
      <c r="P56" s="44"/>
      <c r="Q56" s="44"/>
      <c r="R56" s="44"/>
      <c r="S56" s="45"/>
      <c r="T56" s="69" t="s">
        <v>163</v>
      </c>
      <c r="U56" s="44"/>
      <c r="V56" s="44"/>
      <c r="W56" s="45"/>
      <c r="X56" s="69">
        <v>2</v>
      </c>
      <c r="Y56" s="44"/>
      <c r="Z56" s="45"/>
    </row>
    <row r="57" spans="1:26" s="23" customFormat="1" ht="16.5" customHeight="1">
      <c r="A57" s="71"/>
      <c r="B57" s="62" t="s">
        <v>164</v>
      </c>
      <c r="C57" s="68" t="s">
        <v>165</v>
      </c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5"/>
      <c r="O57" s="69" t="s">
        <v>142</v>
      </c>
      <c r="P57" s="44"/>
      <c r="Q57" s="44"/>
      <c r="R57" s="44"/>
      <c r="S57" s="45"/>
      <c r="T57" s="69" t="s">
        <v>166</v>
      </c>
      <c r="U57" s="44"/>
      <c r="V57" s="44"/>
      <c r="W57" s="45"/>
      <c r="X57" s="69">
        <v>2</v>
      </c>
      <c r="Y57" s="44"/>
      <c r="Z57" s="45"/>
    </row>
    <row r="58" spans="1:26" s="23" customFormat="1" ht="16.5" customHeight="1">
      <c r="A58" s="40"/>
      <c r="B58" s="62" t="s">
        <v>167</v>
      </c>
      <c r="C58" s="68" t="s">
        <v>168</v>
      </c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5"/>
      <c r="O58" s="69" t="s">
        <v>142</v>
      </c>
      <c r="P58" s="44"/>
      <c r="Q58" s="44"/>
      <c r="R58" s="44"/>
      <c r="S58" s="45"/>
      <c r="T58" s="69" t="s">
        <v>169</v>
      </c>
      <c r="U58" s="44"/>
      <c r="V58" s="44"/>
      <c r="W58" s="45"/>
      <c r="X58" s="69">
        <v>22</v>
      </c>
      <c r="Y58" s="44"/>
      <c r="Z58" s="45"/>
    </row>
    <row r="59" spans="1:26" s="23" customFormat="1" ht="16.5" customHeight="1">
      <c r="A59" s="73" t="s">
        <v>170</v>
      </c>
      <c r="B59" s="62" t="s">
        <v>171</v>
      </c>
      <c r="C59" s="68" t="s">
        <v>172</v>
      </c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5"/>
      <c r="O59" s="69" t="s">
        <v>142</v>
      </c>
      <c r="P59" s="44"/>
      <c r="Q59" s="44"/>
      <c r="R59" s="44"/>
      <c r="S59" s="45"/>
      <c r="T59" s="69" t="s">
        <v>173</v>
      </c>
      <c r="U59" s="44"/>
      <c r="V59" s="44"/>
      <c r="W59" s="45"/>
      <c r="X59" s="69">
        <v>8</v>
      </c>
      <c r="Y59" s="44"/>
      <c r="Z59" s="45"/>
    </row>
    <row r="60" spans="1:26" s="23" customFormat="1" ht="16.5" customHeight="1">
      <c r="A60" s="73" t="s">
        <v>174</v>
      </c>
      <c r="B60" s="62" t="s">
        <v>175</v>
      </c>
      <c r="C60" s="68" t="s">
        <v>126</v>
      </c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5"/>
      <c r="O60" s="69" t="s">
        <v>116</v>
      </c>
      <c r="P60" s="44"/>
      <c r="Q60" s="44"/>
      <c r="R60" s="44"/>
      <c r="S60" s="45"/>
      <c r="T60" s="69" t="s">
        <v>176</v>
      </c>
      <c r="U60" s="44"/>
      <c r="V60" s="44"/>
      <c r="W60" s="45"/>
      <c r="X60" s="69">
        <v>1</v>
      </c>
      <c r="Y60" s="44"/>
      <c r="Z60" s="45"/>
    </row>
    <row r="61" spans="1:26" s="23" customFormat="1" ht="16.5" customHeight="1">
      <c r="A61" s="74" t="s">
        <v>177</v>
      </c>
      <c r="B61" s="62" t="s">
        <v>178</v>
      </c>
      <c r="C61" s="68" t="s">
        <v>159</v>
      </c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5"/>
      <c r="O61" s="69" t="s">
        <v>142</v>
      </c>
      <c r="P61" s="44"/>
      <c r="Q61" s="44"/>
      <c r="R61" s="44"/>
      <c r="S61" s="45"/>
      <c r="T61" s="69" t="s">
        <v>160</v>
      </c>
      <c r="U61" s="44"/>
      <c r="V61" s="44"/>
      <c r="W61" s="45"/>
      <c r="X61" s="69">
        <v>2</v>
      </c>
      <c r="Y61" s="44"/>
      <c r="Z61" s="45"/>
    </row>
    <row r="62" spans="1:26" s="23" customFormat="1" ht="16.5" customHeight="1">
      <c r="A62" s="38"/>
      <c r="B62" s="62" t="s">
        <v>179</v>
      </c>
      <c r="C62" s="68" t="s">
        <v>180</v>
      </c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5"/>
      <c r="O62" s="69" t="s">
        <v>142</v>
      </c>
      <c r="P62" s="44"/>
      <c r="Q62" s="44"/>
      <c r="R62" s="44"/>
      <c r="S62" s="45"/>
      <c r="T62" s="69" t="s">
        <v>181</v>
      </c>
      <c r="U62" s="44"/>
      <c r="V62" s="44"/>
      <c r="W62" s="45"/>
      <c r="X62" s="69">
        <v>1</v>
      </c>
      <c r="Y62" s="44"/>
      <c r="Z62" s="45"/>
    </row>
    <row r="63" spans="1:26" s="23" customFormat="1" ht="16.5" customHeight="1">
      <c r="A63" s="73" t="s">
        <v>182</v>
      </c>
      <c r="B63" s="62" t="s">
        <v>183</v>
      </c>
      <c r="C63" s="68" t="s">
        <v>128</v>
      </c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5"/>
      <c r="O63" s="69" t="s">
        <v>19</v>
      </c>
      <c r="P63" s="44"/>
      <c r="Q63" s="44"/>
      <c r="R63" s="44"/>
      <c r="S63" s="45"/>
      <c r="T63" s="69" t="s">
        <v>129</v>
      </c>
      <c r="U63" s="44"/>
      <c r="V63" s="44"/>
      <c r="W63" s="45"/>
      <c r="X63" s="69">
        <v>1</v>
      </c>
      <c r="Y63" s="44"/>
      <c r="Z63" s="45"/>
    </row>
    <row r="64" spans="1:26" s="23" customFormat="1" ht="16.5" customHeight="1">
      <c r="A64" s="73" t="s">
        <v>184</v>
      </c>
      <c r="B64" s="62" t="s">
        <v>185</v>
      </c>
      <c r="C64" s="68" t="s">
        <v>155</v>
      </c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5"/>
      <c r="O64" s="69" t="s">
        <v>156</v>
      </c>
      <c r="P64" s="44"/>
      <c r="Q64" s="44"/>
      <c r="R64" s="44"/>
      <c r="S64" s="45"/>
      <c r="T64" s="69" t="s">
        <v>157</v>
      </c>
      <c r="U64" s="44"/>
      <c r="V64" s="44"/>
      <c r="W64" s="45"/>
      <c r="X64" s="69">
        <v>1</v>
      </c>
      <c r="Y64" s="44"/>
      <c r="Z64" s="45"/>
    </row>
    <row r="65" spans="1:26" s="23" customFormat="1" ht="16.5" customHeight="1">
      <c r="A65" s="73" t="s">
        <v>186</v>
      </c>
      <c r="B65" s="62" t="s">
        <v>187</v>
      </c>
      <c r="C65" s="68" t="s">
        <v>115</v>
      </c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5"/>
      <c r="O65" s="69" t="s">
        <v>116</v>
      </c>
      <c r="P65" s="44"/>
      <c r="Q65" s="44"/>
      <c r="R65" s="44"/>
      <c r="S65" s="45"/>
      <c r="T65" s="69" t="s">
        <v>188</v>
      </c>
      <c r="U65" s="44"/>
      <c r="V65" s="44"/>
      <c r="W65" s="45"/>
      <c r="X65" s="69">
        <v>1</v>
      </c>
      <c r="Y65" s="44"/>
      <c r="Z65" s="45"/>
    </row>
    <row r="66" spans="1:26" s="23" customFormat="1" ht="16.5" customHeight="1">
      <c r="A66" s="73" t="s">
        <v>189</v>
      </c>
      <c r="B66" s="62" t="s">
        <v>190</v>
      </c>
      <c r="C66" s="68" t="s">
        <v>148</v>
      </c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5"/>
      <c r="O66" s="69" t="s">
        <v>116</v>
      </c>
      <c r="P66" s="44"/>
      <c r="Q66" s="44"/>
      <c r="R66" s="44"/>
      <c r="S66" s="45"/>
      <c r="T66" s="69" t="s">
        <v>149</v>
      </c>
      <c r="U66" s="44"/>
      <c r="V66" s="44"/>
      <c r="W66" s="45"/>
      <c r="X66" s="69">
        <v>1</v>
      </c>
      <c r="Y66" s="44"/>
      <c r="Z66" s="45"/>
    </row>
    <row r="67" spans="1:26" s="23" customFormat="1" ht="16.5" customHeight="1">
      <c r="A67" s="73" t="s">
        <v>191</v>
      </c>
      <c r="B67" s="62" t="s">
        <v>192</v>
      </c>
      <c r="C67" s="68" t="s">
        <v>193</v>
      </c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5"/>
      <c r="O67" s="69" t="s">
        <v>19</v>
      </c>
      <c r="P67" s="44"/>
      <c r="Q67" s="44"/>
      <c r="R67" s="44"/>
      <c r="S67" s="45"/>
      <c r="T67" s="69" t="s">
        <v>11</v>
      </c>
      <c r="U67" s="44"/>
      <c r="V67" s="44"/>
      <c r="W67" s="45"/>
      <c r="X67" s="69">
        <v>6</v>
      </c>
      <c r="Y67" s="44"/>
      <c r="Z67" s="45"/>
    </row>
    <row r="68" spans="1:26" s="23" customFormat="1" ht="16.5" customHeight="1">
      <c r="A68" s="62">
        <v>13</v>
      </c>
      <c r="B68" s="62" t="s">
        <v>194</v>
      </c>
      <c r="C68" s="75" t="s">
        <v>195</v>
      </c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5"/>
      <c r="O68" s="76" t="s">
        <v>116</v>
      </c>
      <c r="P68" s="44"/>
      <c r="Q68" s="44"/>
      <c r="R68" s="44"/>
      <c r="S68" s="45"/>
      <c r="T68" s="69" t="s">
        <v>117</v>
      </c>
      <c r="U68" s="44"/>
      <c r="V68" s="44"/>
      <c r="W68" s="45"/>
      <c r="X68" s="69">
        <v>1</v>
      </c>
      <c r="Y68" s="44"/>
      <c r="Z68" s="45"/>
    </row>
    <row r="69" spans="1:26" s="23" customFormat="1" ht="16.5" customHeight="1">
      <c r="A69" s="62" t="s">
        <v>72</v>
      </c>
      <c r="B69" s="62" t="s">
        <v>196</v>
      </c>
      <c r="C69" s="75" t="s">
        <v>197</v>
      </c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5"/>
      <c r="O69" s="76" t="s">
        <v>116</v>
      </c>
      <c r="P69" s="44"/>
      <c r="Q69" s="44"/>
      <c r="R69" s="44"/>
      <c r="S69" s="45"/>
      <c r="T69" s="69" t="s">
        <v>120</v>
      </c>
      <c r="U69" s="44"/>
      <c r="V69" s="44"/>
      <c r="W69" s="45"/>
      <c r="X69" s="69">
        <v>1</v>
      </c>
      <c r="Y69" s="44"/>
      <c r="Z69" s="45"/>
    </row>
    <row r="70" spans="1:26" s="23" customFormat="1" ht="16.5" customHeight="1">
      <c r="A70" s="62" t="s">
        <v>72</v>
      </c>
      <c r="B70" s="62" t="s">
        <v>198</v>
      </c>
      <c r="C70" s="75" t="s">
        <v>199</v>
      </c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5"/>
      <c r="O70" s="76" t="s">
        <v>123</v>
      </c>
      <c r="P70" s="44"/>
      <c r="Q70" s="44"/>
      <c r="R70" s="44"/>
      <c r="S70" s="45"/>
      <c r="T70" s="69" t="s">
        <v>124</v>
      </c>
      <c r="U70" s="44"/>
      <c r="V70" s="44"/>
      <c r="W70" s="45"/>
      <c r="X70" s="69">
        <v>6</v>
      </c>
      <c r="Y70" s="44"/>
      <c r="Z70" s="45"/>
    </row>
    <row r="71" spans="1:26" s="23" customFormat="1" ht="16.5" customHeight="1">
      <c r="A71" s="62" t="s">
        <v>72</v>
      </c>
      <c r="B71" s="62" t="s">
        <v>200</v>
      </c>
      <c r="C71" s="75" t="s">
        <v>57</v>
      </c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5"/>
      <c r="O71" s="76" t="s">
        <v>19</v>
      </c>
      <c r="P71" s="44"/>
      <c r="Q71" s="44"/>
      <c r="R71" s="44"/>
      <c r="S71" s="45"/>
      <c r="T71" s="69" t="s">
        <v>11</v>
      </c>
      <c r="U71" s="44"/>
      <c r="V71" s="44"/>
      <c r="W71" s="45"/>
      <c r="X71" s="69">
        <v>6</v>
      </c>
      <c r="Y71" s="44"/>
      <c r="Z71" s="45"/>
    </row>
    <row r="72" spans="1:26" s="23" customFormat="1" ht="16.5" customHeight="1">
      <c r="A72" s="62" t="s">
        <v>72</v>
      </c>
      <c r="B72" s="62" t="s">
        <v>201</v>
      </c>
      <c r="C72" s="75" t="s">
        <v>202</v>
      </c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5"/>
      <c r="O72" s="76" t="s">
        <v>19</v>
      </c>
      <c r="P72" s="44"/>
      <c r="Q72" s="44"/>
      <c r="R72" s="44"/>
      <c r="S72" s="45"/>
      <c r="T72" s="69" t="s">
        <v>129</v>
      </c>
      <c r="U72" s="44"/>
      <c r="V72" s="44"/>
      <c r="W72" s="45"/>
      <c r="X72" s="69">
        <v>6</v>
      </c>
      <c r="Y72" s="44"/>
      <c r="Z72" s="45"/>
    </row>
    <row r="73" spans="1:26" s="23" customFormat="1" ht="16.5" customHeight="1">
      <c r="A73" s="62">
        <v>14</v>
      </c>
      <c r="B73" s="77" t="s">
        <v>203</v>
      </c>
      <c r="C73" s="75" t="s">
        <v>204</v>
      </c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5"/>
      <c r="O73" s="76" t="s">
        <v>142</v>
      </c>
      <c r="P73" s="44"/>
      <c r="Q73" s="44"/>
      <c r="R73" s="44"/>
      <c r="S73" s="45"/>
      <c r="T73" s="69" t="s">
        <v>143</v>
      </c>
      <c r="U73" s="44"/>
      <c r="V73" s="44"/>
      <c r="W73" s="45"/>
      <c r="X73" s="78">
        <v>1</v>
      </c>
      <c r="Y73" s="44"/>
      <c r="Z73" s="45"/>
    </row>
    <row r="74" spans="1:26" s="23" customFormat="1" ht="16.5" customHeight="1">
      <c r="A74" s="62" t="s">
        <v>72</v>
      </c>
      <c r="B74" s="77" t="s">
        <v>205</v>
      </c>
      <c r="C74" s="75" t="s">
        <v>206</v>
      </c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5"/>
      <c r="O74" s="76" t="s">
        <v>142</v>
      </c>
      <c r="P74" s="44"/>
      <c r="Q74" s="44"/>
      <c r="R74" s="44"/>
      <c r="S74" s="45"/>
      <c r="T74" s="69" t="s">
        <v>146</v>
      </c>
      <c r="U74" s="44"/>
      <c r="V74" s="44"/>
      <c r="W74" s="45"/>
      <c r="X74" s="78">
        <v>4</v>
      </c>
      <c r="Y74" s="44"/>
      <c r="Z74" s="45"/>
    </row>
    <row r="75" spans="1:26" s="23" customFormat="1" ht="16.5" customHeight="1">
      <c r="A75" s="62" t="s">
        <v>72</v>
      </c>
      <c r="B75" s="77" t="s">
        <v>207</v>
      </c>
      <c r="C75" s="75" t="s">
        <v>208</v>
      </c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5"/>
      <c r="O75" s="76" t="s">
        <v>116</v>
      </c>
      <c r="P75" s="44"/>
      <c r="Q75" s="44"/>
      <c r="R75" s="44"/>
      <c r="S75" s="45"/>
      <c r="T75" s="69" t="s">
        <v>149</v>
      </c>
      <c r="U75" s="44"/>
      <c r="V75" s="44"/>
      <c r="W75" s="45"/>
      <c r="X75" s="78">
        <v>1</v>
      </c>
      <c r="Y75" s="44"/>
      <c r="Z75" s="45"/>
    </row>
    <row r="76" spans="1:26" s="23" customFormat="1" ht="16.5" customHeight="1">
      <c r="A76" s="62" t="s">
        <v>72</v>
      </c>
      <c r="B76" s="77" t="s">
        <v>209</v>
      </c>
      <c r="C76" s="75" t="s">
        <v>210</v>
      </c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5"/>
      <c r="O76" s="76" t="s">
        <v>116</v>
      </c>
      <c r="P76" s="44"/>
      <c r="Q76" s="44"/>
      <c r="R76" s="44"/>
      <c r="S76" s="45"/>
      <c r="T76" s="69" t="s">
        <v>152</v>
      </c>
      <c r="U76" s="44"/>
      <c r="V76" s="44"/>
      <c r="W76" s="45"/>
      <c r="X76" s="78">
        <v>1</v>
      </c>
      <c r="Y76" s="44"/>
      <c r="Z76" s="45"/>
    </row>
    <row r="77" spans="1:26" s="23" customFormat="1" ht="16.5" customHeight="1">
      <c r="A77" s="62">
        <v>15</v>
      </c>
      <c r="B77" s="62" t="s">
        <v>211</v>
      </c>
      <c r="C77" s="75" t="s">
        <v>212</v>
      </c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5"/>
      <c r="O77" s="69" t="s">
        <v>156</v>
      </c>
      <c r="P77" s="44"/>
      <c r="Q77" s="44"/>
      <c r="R77" s="44"/>
      <c r="S77" s="45"/>
      <c r="T77" s="69" t="s">
        <v>157</v>
      </c>
      <c r="U77" s="44"/>
      <c r="V77" s="44"/>
      <c r="W77" s="45"/>
      <c r="X77" s="69">
        <v>1</v>
      </c>
      <c r="Y77" s="44"/>
      <c r="Z77" s="45"/>
    </row>
    <row r="78" spans="1:26" s="23" customFormat="1" ht="16.5" customHeight="1">
      <c r="A78" s="62" t="s">
        <v>72</v>
      </c>
      <c r="B78" s="62" t="s">
        <v>213</v>
      </c>
      <c r="C78" s="75" t="s">
        <v>214</v>
      </c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5"/>
      <c r="O78" s="76" t="s">
        <v>142</v>
      </c>
      <c r="P78" s="44"/>
      <c r="Q78" s="44"/>
      <c r="R78" s="44"/>
      <c r="S78" s="45"/>
      <c r="T78" s="69" t="s">
        <v>160</v>
      </c>
      <c r="U78" s="44"/>
      <c r="V78" s="44"/>
      <c r="W78" s="45"/>
      <c r="X78" s="69">
        <v>2</v>
      </c>
      <c r="Y78" s="44"/>
      <c r="Z78" s="45"/>
    </row>
    <row r="79" spans="1:26" s="23" customFormat="1" ht="16.5" customHeight="1">
      <c r="A79" s="62" t="s">
        <v>72</v>
      </c>
      <c r="B79" s="62" t="s">
        <v>215</v>
      </c>
      <c r="C79" s="75" t="s">
        <v>216</v>
      </c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5"/>
      <c r="O79" s="76" t="s">
        <v>142</v>
      </c>
      <c r="P79" s="44"/>
      <c r="Q79" s="44"/>
      <c r="R79" s="44"/>
      <c r="S79" s="45"/>
      <c r="T79" s="69" t="s">
        <v>163</v>
      </c>
      <c r="U79" s="44"/>
      <c r="V79" s="44"/>
      <c r="W79" s="45"/>
      <c r="X79" s="69">
        <v>2</v>
      </c>
      <c r="Y79" s="44"/>
      <c r="Z79" s="45"/>
    </row>
    <row r="80" spans="1:26" s="23" customFormat="1" ht="16.5" customHeight="1">
      <c r="A80" s="62" t="s">
        <v>72</v>
      </c>
      <c r="B80" s="62" t="s">
        <v>217</v>
      </c>
      <c r="C80" s="75" t="s">
        <v>218</v>
      </c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5"/>
      <c r="O80" s="76" t="s">
        <v>142</v>
      </c>
      <c r="P80" s="44"/>
      <c r="Q80" s="44"/>
      <c r="R80" s="44"/>
      <c r="S80" s="45"/>
      <c r="T80" s="69" t="s">
        <v>166</v>
      </c>
      <c r="U80" s="44"/>
      <c r="V80" s="44"/>
      <c r="W80" s="45"/>
      <c r="X80" s="69">
        <v>2</v>
      </c>
      <c r="Y80" s="44"/>
      <c r="Z80" s="45"/>
    </row>
    <row r="81" spans="1:26" s="23" customFormat="1" ht="16.5" customHeight="1">
      <c r="A81" s="62" t="s">
        <v>72</v>
      </c>
      <c r="B81" s="62" t="s">
        <v>219</v>
      </c>
      <c r="C81" s="75" t="s">
        <v>220</v>
      </c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5"/>
      <c r="O81" s="76" t="s">
        <v>142</v>
      </c>
      <c r="P81" s="44"/>
      <c r="Q81" s="44"/>
      <c r="R81" s="44"/>
      <c r="S81" s="45"/>
      <c r="T81" s="69" t="s">
        <v>169</v>
      </c>
      <c r="U81" s="44"/>
      <c r="V81" s="44"/>
      <c r="W81" s="45"/>
      <c r="X81" s="69">
        <v>2</v>
      </c>
      <c r="Y81" s="44"/>
      <c r="Z81" s="45"/>
    </row>
    <row r="82" spans="1:26" s="23" customFormat="1" ht="20.399999999999999" customHeight="1">
      <c r="A82" s="50" t="s">
        <v>72</v>
      </c>
      <c r="B82" s="14"/>
      <c r="C82" s="79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79"/>
      <c r="P82" s="35"/>
      <c r="Q82" s="35"/>
      <c r="R82" s="35"/>
      <c r="S82" s="35"/>
      <c r="T82" s="79"/>
      <c r="U82" s="35"/>
      <c r="V82" s="35"/>
      <c r="W82" s="35"/>
      <c r="X82" s="79"/>
      <c r="Y82" s="35"/>
      <c r="Z82" s="35"/>
    </row>
    <row r="83" spans="1:26" ht="15.6" customHeight="1">
      <c r="A83" s="80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</row>
  </sheetData>
  <sheetProtection sheet="1" objects="1" scenarios="1"/>
  <mergeCells count="270">
    <mergeCell ref="A7:B7"/>
    <mergeCell ref="C14:H15"/>
    <mergeCell ref="C71:N71"/>
    <mergeCell ref="X45:Z45"/>
    <mergeCell ref="G8:J8"/>
    <mergeCell ref="C26:F26"/>
    <mergeCell ref="A33:B33"/>
    <mergeCell ref="G10:J10"/>
    <mergeCell ref="A35:B35"/>
    <mergeCell ref="A9:B9"/>
    <mergeCell ref="U18:Z18"/>
    <mergeCell ref="A50:A53"/>
    <mergeCell ref="O14:T15"/>
    <mergeCell ref="C22:H22"/>
    <mergeCell ref="O22:T22"/>
    <mergeCell ref="C21:H21"/>
    <mergeCell ref="U21:Z21"/>
    <mergeCell ref="G7:K7"/>
    <mergeCell ref="C25:H25"/>
    <mergeCell ref="C65:N65"/>
    <mergeCell ref="C47:N47"/>
    <mergeCell ref="T60:W60"/>
    <mergeCell ref="I22:N22"/>
    <mergeCell ref="O68:S68"/>
    <mergeCell ref="X77:Z77"/>
    <mergeCell ref="U24:Z24"/>
    <mergeCell ref="X42:Z42"/>
    <mergeCell ref="I21:N21"/>
    <mergeCell ref="B14:B15"/>
    <mergeCell ref="G32:J32"/>
    <mergeCell ref="O45:S45"/>
    <mergeCell ref="X58:Z58"/>
    <mergeCell ref="C60:N60"/>
    <mergeCell ref="X65:Z65"/>
    <mergeCell ref="T52:W52"/>
    <mergeCell ref="X74:Z74"/>
    <mergeCell ref="C32:F32"/>
    <mergeCell ref="L28:M28"/>
    <mergeCell ref="X68:Z68"/>
    <mergeCell ref="X76:Z76"/>
    <mergeCell ref="I23:N23"/>
    <mergeCell ref="O65:S65"/>
    <mergeCell ref="X51:Z51"/>
    <mergeCell ref="X60:Z60"/>
    <mergeCell ref="L39:M39"/>
    <mergeCell ref="O44:S44"/>
    <mergeCell ref="T49:W49"/>
    <mergeCell ref="X69:Z69"/>
    <mergeCell ref="L29:M29"/>
    <mergeCell ref="X44:Z44"/>
    <mergeCell ref="X59:Z59"/>
    <mergeCell ref="L38:M38"/>
    <mergeCell ref="O23:T23"/>
    <mergeCell ref="T42:W42"/>
    <mergeCell ref="C57:N57"/>
    <mergeCell ref="C24:H24"/>
    <mergeCell ref="X64:Z64"/>
    <mergeCell ref="X73:Z73"/>
    <mergeCell ref="X63:Z63"/>
    <mergeCell ref="C77:N77"/>
    <mergeCell ref="O78:S78"/>
    <mergeCell ref="T69:W69"/>
    <mergeCell ref="C63:N63"/>
    <mergeCell ref="O53:S53"/>
    <mergeCell ref="L37:M37"/>
    <mergeCell ref="C56:N56"/>
    <mergeCell ref="T46:W46"/>
    <mergeCell ref="C43:N43"/>
    <mergeCell ref="T77:W77"/>
    <mergeCell ref="O62:S62"/>
    <mergeCell ref="T65:W65"/>
    <mergeCell ref="L31:M31"/>
    <mergeCell ref="O56:S56"/>
    <mergeCell ref="T50:W50"/>
    <mergeCell ref="T62:W62"/>
    <mergeCell ref="L40:M40"/>
    <mergeCell ref="T44:W44"/>
    <mergeCell ref="O70:S70"/>
    <mergeCell ref="S11:V12"/>
    <mergeCell ref="C16:H16"/>
    <mergeCell ref="A48:A49"/>
    <mergeCell ref="U16:Z16"/>
    <mergeCell ref="A61:A62"/>
    <mergeCell ref="X62:Z62"/>
    <mergeCell ref="T70:W70"/>
    <mergeCell ref="U25:Z25"/>
    <mergeCell ref="O77:S77"/>
    <mergeCell ref="C44:N44"/>
    <mergeCell ref="I18:N18"/>
    <mergeCell ref="G29:J29"/>
    <mergeCell ref="X49:Z49"/>
    <mergeCell ref="T56:W56"/>
    <mergeCell ref="C75:N75"/>
    <mergeCell ref="T43:W43"/>
    <mergeCell ref="O25:T25"/>
    <mergeCell ref="C28:F28"/>
    <mergeCell ref="C42:N42"/>
    <mergeCell ref="O76:S76"/>
    <mergeCell ref="C58:N58"/>
    <mergeCell ref="G34:J34"/>
    <mergeCell ref="A28:B28"/>
    <mergeCell ref="T64:W64"/>
    <mergeCell ref="A6:Z6"/>
    <mergeCell ref="G12:J12"/>
    <mergeCell ref="C30:F30"/>
    <mergeCell ref="C61:N61"/>
    <mergeCell ref="X50:Z50"/>
    <mergeCell ref="C70:N70"/>
    <mergeCell ref="T82:W82"/>
    <mergeCell ref="C48:N48"/>
    <mergeCell ref="O17:T17"/>
    <mergeCell ref="I20:N20"/>
    <mergeCell ref="L30:M30"/>
    <mergeCell ref="O75:S75"/>
    <mergeCell ref="C81:N81"/>
    <mergeCell ref="C19:H19"/>
    <mergeCell ref="U20:Z20"/>
    <mergeCell ref="T53:W53"/>
    <mergeCell ref="O50:S50"/>
    <mergeCell ref="U23:Z23"/>
    <mergeCell ref="O59:S59"/>
    <mergeCell ref="O80:S80"/>
    <mergeCell ref="C36:J36"/>
    <mergeCell ref="O46:S46"/>
    <mergeCell ref="T68:W68"/>
    <mergeCell ref="U22:Z22"/>
    <mergeCell ref="A1:V5"/>
    <mergeCell ref="X52:Z52"/>
    <mergeCell ref="X67:Z67"/>
    <mergeCell ref="X61:Z61"/>
    <mergeCell ref="O81:S81"/>
    <mergeCell ref="C74:N74"/>
    <mergeCell ref="G33:J33"/>
    <mergeCell ref="A34:B34"/>
    <mergeCell ref="T66:W66"/>
    <mergeCell ref="C50:N50"/>
    <mergeCell ref="T75:W75"/>
    <mergeCell ref="G35:J35"/>
    <mergeCell ref="L32:M32"/>
    <mergeCell ref="X53:Z53"/>
    <mergeCell ref="X47:Z47"/>
    <mergeCell ref="C55:N55"/>
    <mergeCell ref="A36:B36"/>
    <mergeCell ref="T72:W72"/>
    <mergeCell ref="T81:W81"/>
    <mergeCell ref="O16:T16"/>
    <mergeCell ref="X55:Z55"/>
    <mergeCell ref="A17:A21"/>
    <mergeCell ref="X80:Z80"/>
    <mergeCell ref="G9:J9"/>
    <mergeCell ref="I17:N17"/>
    <mergeCell ref="L33:M33"/>
    <mergeCell ref="O63:S63"/>
    <mergeCell ref="C52:N52"/>
    <mergeCell ref="C17:H17"/>
    <mergeCell ref="G11:J11"/>
    <mergeCell ref="A14:A15"/>
    <mergeCell ref="X72:Z72"/>
    <mergeCell ref="O69:S69"/>
    <mergeCell ref="C67:N67"/>
    <mergeCell ref="O67:S67"/>
    <mergeCell ref="I14:N15"/>
    <mergeCell ref="X57:Z57"/>
    <mergeCell ref="X66:Z66"/>
    <mergeCell ref="O72:S72"/>
    <mergeCell ref="C20:H20"/>
    <mergeCell ref="C64:N64"/>
    <mergeCell ref="U14:Z15"/>
    <mergeCell ref="O20:T20"/>
    <mergeCell ref="C54:N54"/>
    <mergeCell ref="T61:W61"/>
    <mergeCell ref="I16:N16"/>
    <mergeCell ref="A31:B31"/>
    <mergeCell ref="I25:N25"/>
    <mergeCell ref="I19:N19"/>
    <mergeCell ref="L35:M35"/>
    <mergeCell ref="O43:S43"/>
    <mergeCell ref="C72:N72"/>
    <mergeCell ref="T58:W58"/>
    <mergeCell ref="U19:Z19"/>
    <mergeCell ref="C29:F29"/>
    <mergeCell ref="A32:B32"/>
    <mergeCell ref="T54:W54"/>
    <mergeCell ref="X71:Z71"/>
    <mergeCell ref="C69:N69"/>
    <mergeCell ref="X43:Z43"/>
    <mergeCell ref="T63:W63"/>
    <mergeCell ref="O42:S42"/>
    <mergeCell ref="A54:A58"/>
    <mergeCell ref="O19:T19"/>
    <mergeCell ref="C31:F31"/>
    <mergeCell ref="C62:N62"/>
    <mergeCell ref="O64:S64"/>
    <mergeCell ref="T71:W71"/>
    <mergeCell ref="A27:J27"/>
    <mergeCell ref="A30:B30"/>
    <mergeCell ref="T51:W51"/>
    <mergeCell ref="O57:S57"/>
    <mergeCell ref="O21:T21"/>
    <mergeCell ref="I24:N24"/>
    <mergeCell ref="C76:N76"/>
    <mergeCell ref="A43:A47"/>
    <mergeCell ref="T48:W48"/>
    <mergeCell ref="C23:H23"/>
    <mergeCell ref="T57:W57"/>
    <mergeCell ref="O54:S54"/>
    <mergeCell ref="C33:F33"/>
    <mergeCell ref="T74:W74"/>
    <mergeCell ref="T76:W76"/>
    <mergeCell ref="C73:N73"/>
    <mergeCell ref="T73:W73"/>
    <mergeCell ref="C59:N59"/>
    <mergeCell ref="C46:N46"/>
    <mergeCell ref="G31:J31"/>
    <mergeCell ref="T67:W67"/>
    <mergeCell ref="C51:N51"/>
    <mergeCell ref="T55:W55"/>
    <mergeCell ref="C49:N49"/>
    <mergeCell ref="O52:S52"/>
    <mergeCell ref="O61:S61"/>
    <mergeCell ref="O48:S48"/>
    <mergeCell ref="C34:F34"/>
    <mergeCell ref="T45:W45"/>
    <mergeCell ref="C82:N82"/>
    <mergeCell ref="X54:Z54"/>
    <mergeCell ref="O74:S74"/>
    <mergeCell ref="X46:Z46"/>
    <mergeCell ref="C35:F35"/>
    <mergeCell ref="T47:W47"/>
    <mergeCell ref="C66:N66"/>
    <mergeCell ref="O55:S55"/>
    <mergeCell ref="C53:N53"/>
    <mergeCell ref="O82:S82"/>
    <mergeCell ref="X82:Z82"/>
    <mergeCell ref="X81:Z81"/>
    <mergeCell ref="C78:N78"/>
    <mergeCell ref="X79:Z79"/>
    <mergeCell ref="C79:N79"/>
    <mergeCell ref="X78:Z78"/>
    <mergeCell ref="T80:W80"/>
    <mergeCell ref="C80:N80"/>
    <mergeCell ref="O79:S79"/>
    <mergeCell ref="O49:S49"/>
    <mergeCell ref="T78:W78"/>
    <mergeCell ref="O51:S51"/>
    <mergeCell ref="O47:S47"/>
    <mergeCell ref="D10:F10"/>
    <mergeCell ref="G28:J28"/>
    <mergeCell ref="L34:M34"/>
    <mergeCell ref="O24:T24"/>
    <mergeCell ref="A29:B29"/>
    <mergeCell ref="O60:S60"/>
    <mergeCell ref="O18:T18"/>
    <mergeCell ref="O73:S73"/>
    <mergeCell ref="T79:W79"/>
    <mergeCell ref="C45:N45"/>
    <mergeCell ref="G30:J30"/>
    <mergeCell ref="O66:S66"/>
    <mergeCell ref="U17:Z17"/>
    <mergeCell ref="C18:H18"/>
    <mergeCell ref="L41:M41"/>
    <mergeCell ref="X56:Z56"/>
    <mergeCell ref="O71:S71"/>
    <mergeCell ref="T59:W59"/>
    <mergeCell ref="X70:Z70"/>
    <mergeCell ref="O58:S58"/>
    <mergeCell ref="X48:Z48"/>
    <mergeCell ref="L36:M36"/>
    <mergeCell ref="C68:N68"/>
    <mergeCell ref="X75:Z75"/>
  </mergeCells>
  <pageMargins left="0.7" right="0.7" top="0.75" bottom="0.75" header="0.3" footer="0.3"/>
  <pageSetup scale="70" orientation="landscape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A28"/>
  <sheetViews>
    <sheetView tabSelected="1" workbookViewId="0">
      <selection activeCell="AB26" sqref="A1:XFD1048576"/>
    </sheetView>
  </sheetViews>
  <sheetFormatPr defaultRowHeight="14.4"/>
  <cols>
    <col min="1" max="1" width="10.77734375" style="14" customWidth="1"/>
    <col min="2" max="2" width="56.33203125" style="14" customWidth="1"/>
    <col min="3" max="18" width="3.88671875" style="14" customWidth="1"/>
    <col min="19" max="20" width="4.44140625" style="14" customWidth="1"/>
    <col min="21" max="26" width="4.88671875" style="14" customWidth="1"/>
    <col min="27" max="16384" width="8.88671875" style="14"/>
  </cols>
  <sheetData>
    <row r="1" spans="1:27" ht="15" customHeight="1">
      <c r="A1" s="11" t="s">
        <v>74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3"/>
      <c r="X1" s="13"/>
      <c r="Y1" s="13"/>
      <c r="Z1" s="13"/>
    </row>
    <row r="2" spans="1:27" ht="15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3"/>
      <c r="X2" s="13"/>
      <c r="Y2" s="13"/>
      <c r="Z2" s="13"/>
    </row>
    <row r="3" spans="1:27" ht="1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3"/>
      <c r="X3" s="13"/>
      <c r="Y3" s="13"/>
      <c r="Z3" s="13"/>
    </row>
    <row r="4" spans="1:27" ht="1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3"/>
      <c r="X4" s="13"/>
      <c r="Y4" s="13"/>
      <c r="Z4" s="13"/>
    </row>
    <row r="5" spans="1:27" ht="15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3"/>
      <c r="X5" s="13"/>
      <c r="Y5" s="13"/>
      <c r="Z5" s="13"/>
    </row>
    <row r="6" spans="1:27" ht="30" customHeight="1">
      <c r="A6" s="15" t="s">
        <v>221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7" s="23" customFormat="1" ht="17.399999999999999" customHeight="1">
      <c r="A7" s="16" t="s">
        <v>221</v>
      </c>
      <c r="B7" s="12"/>
      <c r="C7" s="17" t="s">
        <v>76</v>
      </c>
      <c r="D7" s="14"/>
      <c r="E7" s="18"/>
      <c r="F7" s="18"/>
      <c r="G7" s="19" t="str">
        <f>'ใบงาน Agilent_JOB 12'!F7</f>
        <v>xxxx</v>
      </c>
      <c r="H7" s="12"/>
      <c r="I7" s="12"/>
      <c r="J7" s="12"/>
      <c r="K7" s="14"/>
      <c r="L7" s="18"/>
      <c r="M7" s="18"/>
      <c r="N7" s="18"/>
      <c r="O7" s="18"/>
      <c r="P7" s="18"/>
      <c r="Q7" s="18"/>
      <c r="R7" s="18"/>
      <c r="S7" s="20" t="s">
        <v>6</v>
      </c>
      <c r="T7" s="14"/>
      <c r="U7" s="14"/>
      <c r="V7" s="14"/>
      <c r="W7" s="21" t="str">
        <f>'ใบงาน Agilent_JOB 12'!M7</f>
        <v>xxxx</v>
      </c>
      <c r="X7" s="21"/>
      <c r="Y7" s="21"/>
      <c r="Z7" s="21"/>
      <c r="AA7" s="22"/>
    </row>
    <row r="8" spans="1:27" s="23" customFormat="1" ht="21" customHeight="1">
      <c r="A8" s="24" t="s">
        <v>77</v>
      </c>
      <c r="B8" s="25" t="str">
        <f>'[2]ใบงาน Agilent_JOB 2.1'!F9</f>
        <v>K9801-60099</v>
      </c>
      <c r="C8" s="25" t="s">
        <v>78</v>
      </c>
      <c r="D8" s="25"/>
      <c r="E8" s="25"/>
      <c r="F8" s="25"/>
      <c r="G8" s="26" t="str">
        <f>'[2]ใบงาน Agilent_JOB 2.1'!F10</f>
        <v>K9801-60082</v>
      </c>
      <c r="H8" s="12"/>
      <c r="I8" s="12"/>
      <c r="J8" s="12"/>
      <c r="K8" s="27"/>
      <c r="L8" s="27"/>
      <c r="M8" s="27"/>
      <c r="N8" s="27"/>
      <c r="O8" s="27"/>
      <c r="P8" s="27"/>
      <c r="Q8" s="27"/>
      <c r="R8" s="27"/>
      <c r="S8" s="27" t="s">
        <v>222</v>
      </c>
      <c r="T8" s="27"/>
      <c r="U8" s="14"/>
      <c r="V8" s="14"/>
      <c r="W8" s="14"/>
      <c r="X8" s="23" t="str">
        <f>'ใบงาน Agilent_JOB 12'!M9</f>
        <v>PO12345</v>
      </c>
      <c r="Y8" s="14"/>
      <c r="Z8" s="14"/>
      <c r="AA8" s="14"/>
    </row>
    <row r="9" spans="1:27" s="23" customFormat="1" ht="13.8" customHeight="1">
      <c r="A9" s="28" t="s">
        <v>72</v>
      </c>
      <c r="B9" s="12"/>
      <c r="C9" s="22"/>
      <c r="D9" s="22"/>
      <c r="E9" s="22"/>
      <c r="F9" s="22"/>
      <c r="G9" s="26" t="str">
        <f>'[2]ใบงาน Agilent_JOB 2.2'!F10</f>
        <v>K9801-60083</v>
      </c>
      <c r="H9" s="12"/>
      <c r="I9" s="12"/>
      <c r="J9" s="12"/>
      <c r="K9" s="14"/>
      <c r="L9" s="18"/>
      <c r="M9" s="18"/>
      <c r="N9" s="18"/>
      <c r="O9" s="18"/>
      <c r="P9" s="18"/>
      <c r="Q9" s="18"/>
      <c r="R9" s="18"/>
      <c r="S9" s="14"/>
      <c r="T9" s="14"/>
      <c r="U9" s="14"/>
      <c r="V9" s="14"/>
      <c r="W9" s="14"/>
      <c r="X9" s="14"/>
      <c r="Y9" s="14"/>
      <c r="Z9" s="14"/>
      <c r="AA9" s="14"/>
    </row>
    <row r="10" spans="1:27" s="23" customFormat="1" ht="13.8" customHeight="1">
      <c r="A10" s="27" t="s">
        <v>223</v>
      </c>
      <c r="B10" s="18">
        <f>'ใบงาน Agilent_JOB 12'!M8/50</f>
        <v>40</v>
      </c>
      <c r="C10" s="18"/>
      <c r="D10" s="19" t="s">
        <v>72</v>
      </c>
      <c r="E10" s="12"/>
      <c r="F10" s="12"/>
      <c r="G10" s="29" t="s">
        <v>72</v>
      </c>
      <c r="H10" s="12"/>
      <c r="I10" s="12"/>
      <c r="J10" s="12"/>
      <c r="K10" s="17"/>
      <c r="L10" s="18"/>
      <c r="M10" s="18"/>
      <c r="N10" s="18"/>
      <c r="O10" s="18"/>
      <c r="P10" s="18"/>
      <c r="Q10" s="18"/>
      <c r="R10" s="18"/>
      <c r="S10" s="14"/>
      <c r="T10" s="14"/>
      <c r="U10" s="14"/>
      <c r="V10" s="14"/>
      <c r="W10" s="14"/>
      <c r="X10" s="14"/>
      <c r="Y10" s="14"/>
      <c r="Z10" s="14"/>
      <c r="AA10" s="14"/>
    </row>
    <row r="11" spans="1:27" s="23" customFormat="1" ht="13.8" customHeight="1">
      <c r="A11" s="14"/>
      <c r="B11" s="30"/>
      <c r="C11" s="18"/>
      <c r="D11" s="18"/>
      <c r="E11" s="18"/>
      <c r="F11" s="18"/>
      <c r="G11" s="29" t="s">
        <v>72</v>
      </c>
      <c r="H11" s="12"/>
      <c r="I11" s="12"/>
      <c r="J11" s="12"/>
      <c r="K11" s="18"/>
      <c r="L11" s="18"/>
      <c r="M11" s="18"/>
      <c r="N11" s="18"/>
      <c r="O11" s="18"/>
      <c r="P11" s="18"/>
      <c r="Q11" s="18"/>
      <c r="R11" s="18"/>
      <c r="S11" s="31"/>
      <c r="T11" s="12"/>
      <c r="U11" s="12"/>
      <c r="V11" s="12"/>
      <c r="W11" s="14"/>
      <c r="X11" s="14"/>
      <c r="Y11" s="14"/>
      <c r="Z11" s="14"/>
      <c r="AA11" s="14"/>
    </row>
    <row r="12" spans="1:27" s="23" customFormat="1" ht="13.8" customHeight="1">
      <c r="A12" s="18" t="s">
        <v>224</v>
      </c>
      <c r="B12" s="12"/>
      <c r="C12" s="18"/>
      <c r="D12" s="18"/>
      <c r="E12" s="18"/>
      <c r="F12" s="18"/>
      <c r="G12" s="29" t="s">
        <v>72</v>
      </c>
      <c r="H12" s="12"/>
      <c r="I12" s="12"/>
      <c r="J12" s="12"/>
      <c r="K12" s="18"/>
      <c r="L12" s="18"/>
      <c r="M12" s="18"/>
      <c r="N12" s="18"/>
      <c r="O12" s="18"/>
      <c r="P12" s="18"/>
      <c r="Q12" s="18"/>
      <c r="R12" s="18"/>
      <c r="S12" s="12"/>
      <c r="T12" s="12"/>
      <c r="U12" s="12"/>
      <c r="V12" s="12"/>
      <c r="W12" s="14"/>
      <c r="X12" s="14"/>
      <c r="Y12" s="14"/>
      <c r="Z12" s="14"/>
      <c r="AA12" s="14"/>
    </row>
    <row r="13" spans="1:27" s="23" customFormat="1" ht="13.8" customHeight="1">
      <c r="A13" s="18"/>
      <c r="B13" s="32"/>
      <c r="C13" s="18"/>
      <c r="D13" s="18"/>
      <c r="E13" s="18"/>
      <c r="F13" s="18"/>
      <c r="G13" s="17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4"/>
      <c r="V13" s="14"/>
      <c r="W13" s="14"/>
      <c r="X13" s="14"/>
      <c r="Y13" s="14"/>
      <c r="Z13" s="14"/>
      <c r="AA13" s="14"/>
    </row>
    <row r="14" spans="1:27" s="23" customFormat="1" ht="13.8" customHeight="1">
      <c r="A14" s="33" t="s">
        <v>23</v>
      </c>
      <c r="B14" s="33" t="s">
        <v>81</v>
      </c>
      <c r="C14" s="34" t="s">
        <v>82</v>
      </c>
      <c r="D14" s="35"/>
      <c r="E14" s="35"/>
      <c r="F14" s="35"/>
      <c r="G14" s="35"/>
      <c r="H14" s="36"/>
      <c r="I14" s="34" t="s">
        <v>53</v>
      </c>
      <c r="J14" s="35"/>
      <c r="K14" s="35"/>
      <c r="L14" s="35"/>
      <c r="M14" s="35"/>
      <c r="N14" s="36"/>
      <c r="O14" s="34" t="s">
        <v>54</v>
      </c>
      <c r="P14" s="35"/>
      <c r="Q14" s="35"/>
      <c r="R14" s="35"/>
      <c r="S14" s="35"/>
      <c r="T14" s="36"/>
      <c r="U14" s="37" t="s">
        <v>83</v>
      </c>
      <c r="V14" s="35"/>
      <c r="W14" s="35"/>
      <c r="X14" s="35"/>
      <c r="Y14" s="35"/>
      <c r="Z14" s="36"/>
      <c r="AA14" s="14"/>
    </row>
    <row r="15" spans="1:27" s="23" customFormat="1" ht="13.8" customHeight="1">
      <c r="A15" s="38"/>
      <c r="B15" s="38"/>
      <c r="C15" s="39"/>
      <c r="D15" s="32"/>
      <c r="E15" s="32"/>
      <c r="F15" s="32"/>
      <c r="G15" s="32"/>
      <c r="H15" s="40"/>
      <c r="I15" s="39"/>
      <c r="J15" s="32"/>
      <c r="K15" s="32"/>
      <c r="L15" s="32"/>
      <c r="M15" s="32"/>
      <c r="N15" s="40"/>
      <c r="O15" s="39"/>
      <c r="P15" s="32"/>
      <c r="Q15" s="32"/>
      <c r="R15" s="32"/>
      <c r="S15" s="32"/>
      <c r="T15" s="40"/>
      <c r="U15" s="39"/>
      <c r="V15" s="32"/>
      <c r="W15" s="32"/>
      <c r="X15" s="32"/>
      <c r="Y15" s="32"/>
      <c r="Z15" s="40"/>
      <c r="AA15" s="14"/>
    </row>
    <row r="16" spans="1:27" s="46" customFormat="1" ht="17.399999999999999" customHeight="1">
      <c r="A16" s="41">
        <v>1</v>
      </c>
      <c r="B16" s="42" t="s">
        <v>85</v>
      </c>
      <c r="C16" s="43"/>
      <c r="D16" s="44"/>
      <c r="E16" s="44"/>
      <c r="F16" s="44"/>
      <c r="G16" s="44"/>
      <c r="H16" s="45"/>
      <c r="I16" s="43"/>
      <c r="J16" s="44"/>
      <c r="K16" s="44"/>
      <c r="L16" s="44"/>
      <c r="M16" s="44"/>
      <c r="N16" s="45"/>
      <c r="O16" s="43"/>
      <c r="P16" s="44"/>
      <c r="Q16" s="44"/>
      <c r="R16" s="44"/>
      <c r="S16" s="44"/>
      <c r="T16" s="45"/>
      <c r="U16" s="43"/>
      <c r="V16" s="44"/>
      <c r="W16" s="44"/>
      <c r="X16" s="44"/>
      <c r="Y16" s="44"/>
      <c r="Z16" s="45"/>
      <c r="AA16" s="14"/>
    </row>
    <row r="17" spans="1:27" s="46" customFormat="1" ht="17.399999999999999" customHeight="1">
      <c r="A17" s="47"/>
      <c r="B17" s="42" t="s">
        <v>86</v>
      </c>
      <c r="C17" s="43"/>
      <c r="D17" s="44"/>
      <c r="E17" s="44"/>
      <c r="F17" s="44"/>
      <c r="G17" s="44"/>
      <c r="H17" s="45"/>
      <c r="I17" s="43"/>
      <c r="J17" s="44"/>
      <c r="K17" s="44"/>
      <c r="L17" s="44"/>
      <c r="M17" s="44"/>
      <c r="N17" s="45"/>
      <c r="O17" s="43"/>
      <c r="P17" s="44"/>
      <c r="Q17" s="44"/>
      <c r="R17" s="44"/>
      <c r="S17" s="44"/>
      <c r="T17" s="45"/>
      <c r="U17" s="43"/>
      <c r="V17" s="44"/>
      <c r="W17" s="44"/>
      <c r="X17" s="44"/>
      <c r="Y17" s="44"/>
      <c r="Z17" s="45"/>
      <c r="AA17" s="14"/>
    </row>
    <row r="18" spans="1:27" s="46" customFormat="1" ht="17.399999999999999" customHeight="1">
      <c r="A18" s="47"/>
      <c r="B18" s="42" t="s">
        <v>87</v>
      </c>
      <c r="C18" s="43"/>
      <c r="D18" s="44"/>
      <c r="E18" s="44"/>
      <c r="F18" s="44"/>
      <c r="G18" s="44"/>
      <c r="H18" s="45"/>
      <c r="I18" s="43"/>
      <c r="J18" s="44"/>
      <c r="K18" s="44"/>
      <c r="L18" s="44"/>
      <c r="M18" s="44"/>
      <c r="N18" s="45"/>
      <c r="O18" s="43"/>
      <c r="P18" s="44"/>
      <c r="Q18" s="44"/>
      <c r="R18" s="44"/>
      <c r="S18" s="44"/>
      <c r="T18" s="45"/>
      <c r="U18" s="43"/>
      <c r="V18" s="44"/>
      <c r="W18" s="44"/>
      <c r="X18" s="44"/>
      <c r="Y18" s="44"/>
      <c r="Z18" s="45"/>
      <c r="AA18" s="14"/>
    </row>
    <row r="19" spans="1:27" s="46" customFormat="1" ht="17.399999999999999" customHeight="1">
      <c r="A19" s="47"/>
      <c r="B19" s="42" t="s">
        <v>88</v>
      </c>
      <c r="C19" s="43"/>
      <c r="D19" s="44"/>
      <c r="E19" s="44"/>
      <c r="F19" s="44"/>
      <c r="G19" s="44"/>
      <c r="H19" s="45"/>
      <c r="I19" s="43"/>
      <c r="J19" s="44"/>
      <c r="K19" s="44"/>
      <c r="L19" s="44"/>
      <c r="M19" s="44"/>
      <c r="N19" s="45"/>
      <c r="O19" s="43"/>
      <c r="P19" s="44"/>
      <c r="Q19" s="44"/>
      <c r="R19" s="44"/>
      <c r="S19" s="44"/>
      <c r="T19" s="45"/>
      <c r="U19" s="43"/>
      <c r="V19" s="44"/>
      <c r="W19" s="44"/>
      <c r="X19" s="44"/>
      <c r="Y19" s="44"/>
      <c r="Z19" s="45"/>
      <c r="AA19" s="14"/>
    </row>
    <row r="20" spans="1:27" s="46" customFormat="1" ht="17.399999999999999" customHeight="1">
      <c r="A20" s="38"/>
      <c r="B20" s="42" t="s">
        <v>89</v>
      </c>
      <c r="C20" s="43"/>
      <c r="D20" s="44"/>
      <c r="E20" s="44"/>
      <c r="F20" s="44"/>
      <c r="G20" s="44"/>
      <c r="H20" s="45"/>
      <c r="I20" s="43"/>
      <c r="J20" s="44"/>
      <c r="K20" s="44"/>
      <c r="L20" s="44"/>
      <c r="M20" s="44"/>
      <c r="N20" s="45"/>
      <c r="O20" s="43"/>
      <c r="P20" s="44"/>
      <c r="Q20" s="44"/>
      <c r="R20" s="44"/>
      <c r="S20" s="44"/>
      <c r="T20" s="45"/>
      <c r="U20" s="43"/>
      <c r="V20" s="44"/>
      <c r="W20" s="44"/>
      <c r="X20" s="44"/>
      <c r="Y20" s="44"/>
      <c r="Z20" s="45"/>
      <c r="AA20" s="14"/>
    </row>
    <row r="21" spans="1:27" s="46" customFormat="1" ht="17.399999999999999" customHeight="1">
      <c r="A21" s="48">
        <v>2</v>
      </c>
      <c r="B21" s="49" t="s">
        <v>90</v>
      </c>
      <c r="C21" s="43"/>
      <c r="D21" s="44"/>
      <c r="E21" s="44"/>
      <c r="F21" s="44"/>
      <c r="G21" s="44"/>
      <c r="H21" s="45"/>
      <c r="I21" s="43"/>
      <c r="J21" s="44"/>
      <c r="K21" s="44"/>
      <c r="L21" s="44"/>
      <c r="M21" s="44"/>
      <c r="N21" s="45"/>
      <c r="O21" s="43"/>
      <c r="P21" s="44"/>
      <c r="Q21" s="44"/>
      <c r="R21" s="44"/>
      <c r="S21" s="44"/>
      <c r="T21" s="45"/>
      <c r="U21" s="43"/>
      <c r="V21" s="44"/>
      <c r="W21" s="44"/>
      <c r="X21" s="44"/>
      <c r="Y21" s="44"/>
      <c r="Z21" s="45"/>
      <c r="AA21" s="14"/>
    </row>
    <row r="22" spans="1:27" s="46" customFormat="1" ht="17.399999999999999" customHeight="1">
      <c r="A22" s="48">
        <v>3</v>
      </c>
      <c r="B22" s="49" t="s">
        <v>225</v>
      </c>
      <c r="C22" s="43"/>
      <c r="D22" s="44"/>
      <c r="E22" s="44"/>
      <c r="F22" s="44"/>
      <c r="G22" s="44"/>
      <c r="H22" s="45"/>
      <c r="I22" s="43"/>
      <c r="J22" s="44"/>
      <c r="K22" s="44"/>
      <c r="L22" s="44"/>
      <c r="M22" s="44"/>
      <c r="N22" s="45"/>
      <c r="O22" s="43"/>
      <c r="P22" s="44"/>
      <c r="Q22" s="44"/>
      <c r="R22" s="44"/>
      <c r="S22" s="44"/>
      <c r="T22" s="45"/>
      <c r="U22" s="43"/>
      <c r="V22" s="44"/>
      <c r="W22" s="44"/>
      <c r="X22" s="44"/>
      <c r="Y22" s="44"/>
      <c r="Z22" s="45"/>
      <c r="AA22" s="14"/>
    </row>
    <row r="23" spans="1:27" s="46" customFormat="1" ht="17.399999999999999" customHeight="1">
      <c r="A23" s="48">
        <v>4</v>
      </c>
      <c r="B23" s="49" t="s">
        <v>226</v>
      </c>
      <c r="C23" s="43"/>
      <c r="D23" s="44"/>
      <c r="E23" s="44"/>
      <c r="F23" s="44"/>
      <c r="G23" s="44"/>
      <c r="H23" s="45"/>
      <c r="I23" s="43"/>
      <c r="J23" s="44"/>
      <c r="K23" s="44"/>
      <c r="L23" s="44"/>
      <c r="M23" s="44"/>
      <c r="N23" s="45"/>
      <c r="O23" s="43"/>
      <c r="P23" s="44"/>
      <c r="Q23" s="44"/>
      <c r="R23" s="44"/>
      <c r="S23" s="44"/>
      <c r="T23" s="45"/>
      <c r="U23" s="43"/>
      <c r="V23" s="44"/>
      <c r="W23" s="44"/>
      <c r="X23" s="44"/>
      <c r="Y23" s="44"/>
      <c r="Z23" s="45"/>
      <c r="AA23" s="14"/>
    </row>
    <row r="24" spans="1:27" s="23" customFormat="1" ht="13.8" customHeight="1">
      <c r="A24" s="50"/>
      <c r="B24" s="14"/>
      <c r="C24" s="51"/>
      <c r="D24" s="12"/>
      <c r="E24" s="12"/>
      <c r="F24" s="12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 spans="1:27" s="54" customFormat="1" ht="15" customHeight="1">
      <c r="A25" s="52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53"/>
      <c r="M25" s="12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spans="1:27" s="23" customFormat="1" ht="13.8" customHeight="1">
      <c r="A26" s="50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51"/>
      <c r="M26" s="12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 spans="1:27" s="23" customFormat="1" ht="13.8" customHeight="1">
      <c r="A27" s="50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51"/>
      <c r="M27" s="12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 spans="1:27" s="23" customFormat="1" ht="13.8" customHeight="1">
      <c r="A28" s="50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51"/>
      <c r="M28" s="12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</sheetData>
  <sheetProtection sheet="1" objects="1" scenarios="1"/>
  <mergeCells count="57">
    <mergeCell ref="C22:H22"/>
    <mergeCell ref="I22:N22"/>
    <mergeCell ref="I18:N18"/>
    <mergeCell ref="O22:T22"/>
    <mergeCell ref="L28:M28"/>
    <mergeCell ref="C21:H21"/>
    <mergeCell ref="I21:N21"/>
    <mergeCell ref="C23:H23"/>
    <mergeCell ref="I23:N23"/>
    <mergeCell ref="C24:F24"/>
    <mergeCell ref="L26:M26"/>
    <mergeCell ref="O23:T23"/>
    <mergeCell ref="O20:T20"/>
    <mergeCell ref="U21:Z21"/>
    <mergeCell ref="O16:T16"/>
    <mergeCell ref="G9:J9"/>
    <mergeCell ref="O21:T21"/>
    <mergeCell ref="I20:N20"/>
    <mergeCell ref="C19:H19"/>
    <mergeCell ref="I19:N19"/>
    <mergeCell ref="U20:Z20"/>
    <mergeCell ref="C16:H16"/>
    <mergeCell ref="S11:V12"/>
    <mergeCell ref="U16:Z16"/>
    <mergeCell ref="O14:T15"/>
    <mergeCell ref="U18:Z18"/>
    <mergeCell ref="A6:Z6"/>
    <mergeCell ref="G12:J12"/>
    <mergeCell ref="I17:N17"/>
    <mergeCell ref="C17:H17"/>
    <mergeCell ref="G11:J11"/>
    <mergeCell ref="O17:T17"/>
    <mergeCell ref="A14:A15"/>
    <mergeCell ref="G8:J8"/>
    <mergeCell ref="B14:B15"/>
    <mergeCell ref="G10:J10"/>
    <mergeCell ref="D10:F10"/>
    <mergeCell ref="O19:T19"/>
    <mergeCell ref="A7:B7"/>
    <mergeCell ref="I16:N16"/>
    <mergeCell ref="C14:H15"/>
    <mergeCell ref="A1:V5"/>
    <mergeCell ref="O18:T18"/>
    <mergeCell ref="A16:A20"/>
    <mergeCell ref="I14:N15"/>
    <mergeCell ref="L27:M27"/>
    <mergeCell ref="C20:H20"/>
    <mergeCell ref="A9:B9"/>
    <mergeCell ref="U14:Z15"/>
    <mergeCell ref="U17:Z17"/>
    <mergeCell ref="U23:Z23"/>
    <mergeCell ref="U19:Z19"/>
    <mergeCell ref="L25:M25"/>
    <mergeCell ref="G7:J7"/>
    <mergeCell ref="B11:B13"/>
    <mergeCell ref="C18:H18"/>
    <mergeCell ref="U22:Z22"/>
  </mergeCells>
  <pageMargins left="0.45" right="0.7" top="0.75" bottom="0.75" header="0.3" footer="0.3"/>
  <pageSetup scale="74" orientation="landscape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ใบงาน Agilent_JOB 12</vt:lpstr>
      <vt:lpstr>A2-QC ถุง</vt:lpstr>
      <vt:lpstr>P2-QC กล่อง</vt:lpstr>
      <vt:lpstr>'ใบงาน Agilent_JOB 12'!Print_Area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Yada</dc:creator>
  <cp:lastModifiedBy>paisi</cp:lastModifiedBy>
  <cp:lastPrinted>2026-08-03T02:25:39Z</cp:lastPrinted>
  <dcterms:created xsi:type="dcterms:W3CDTF">2022-12-02T03:16:26Z</dcterms:created>
  <dcterms:modified xsi:type="dcterms:W3CDTF">2026-09-02T04:35:01Z</dcterms:modified>
</cp:coreProperties>
</file>