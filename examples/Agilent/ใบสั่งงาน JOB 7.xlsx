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DE3DA1D8-D1D8-45A9-8083-E20355BFA7BA}" xr6:coauthVersionLast="47" xr6:coauthVersionMax="47" xr10:uidLastSave="{00000000-0000-0000-0000-000000000000}"/>
  <bookViews>
    <workbookView xWindow="-28800" yWindow="480" windowWidth="28800" windowHeight="15150" tabRatio="958" activeTab="1" xr2:uid="{4F180DBB-2D27-44A5-BB20-72766F3B0AE8}"/>
  </bookViews>
  <sheets>
    <sheet name="ใบงาน Agilent_JOB 7.1" sheetId="34" r:id="rId1"/>
    <sheet name="ใบงาน Agilent_JOB 7.2" sheetId="35" r:id="rId2"/>
    <sheet name="A2-QC ถุง" sheetId="36" r:id="rId3"/>
    <sheet name="P2-QCกล่อง" sheetId="37" r:id="rId4"/>
  </sheets>
  <definedNames>
    <definedName name="_xlnm.Print_Area" localSheetId="0">'ใบงาน Agilent_JOB 7.1'!$A$1:$O$37</definedName>
    <definedName name="_xlnm.Print_Area" localSheetId="1">'ใบงาน Agilent_JOB 7.2'!$A$1:$O$37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7" i="36" l="1"/>
  <c r="G7" i="37"/>
  <c r="W7" i="37"/>
  <c r="W7" i="36"/>
  <c r="M7" i="35"/>
  <c r="F7" i="35"/>
  <c r="B10" i="37"/>
  <c r="B10" i="36"/>
  <c r="W8" i="37"/>
  <c r="N9" i="35"/>
  <c r="N8" i="35"/>
  <c r="G9" i="37"/>
  <c r="G8" i="37"/>
  <c r="B8" i="37"/>
  <c r="G9" i="36"/>
  <c r="G8" i="36"/>
  <c r="B8" i="36"/>
  <c r="D22" i="35"/>
  <c r="D21" i="35"/>
  <c r="D22" i="34"/>
  <c r="D21" i="34"/>
  <c r="F30" i="35" l="1"/>
  <c r="E17" i="35"/>
  <c r="F30" i="34"/>
  <c r="E17" i="34"/>
  <c r="G17" i="35" l="1"/>
  <c r="H17" i="35" s="1"/>
  <c r="G17" i="34"/>
  <c r="H17" i="34" s="1"/>
</calcChain>
</file>

<file path=xl/sharedStrings.xml><?xml version="1.0" encoding="utf-8"?>
<sst xmlns="http://schemas.openxmlformats.org/spreadsheetml/2006/main" count="461" uniqueCount="236">
  <si>
    <t>ABW00018</t>
  </si>
  <si>
    <t>+5.00</t>
  </si>
  <si>
    <t xml:space="preserve"> </t>
  </si>
  <si>
    <t>วันที่</t>
  </si>
  <si>
    <t>ลูกค้า</t>
  </si>
  <si>
    <t>แผนก</t>
  </si>
  <si>
    <t>สายยาง</t>
  </si>
  <si>
    <t>ถุงพลาสติค M</t>
  </si>
  <si>
    <t>6x9 นิ้ว</t>
  </si>
  <si>
    <t>S</t>
  </si>
  <si>
    <t>M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</si>
  <si>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</si>
  <si>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</si>
  <si>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</si>
  <si>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</si>
  <si>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</si>
  <si>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</si>
  <si>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</si>
  <si>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</si>
  <si>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</si>
  <si>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</si>
  <si>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</si>
  <si>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</si>
  <si>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</si>
  <si>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</si>
  <si>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</si>
  <si>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</si>
  <si>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</si>
  <si>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</si>
  <si>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</si>
  <si>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</si>
  <si>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</si>
  <si>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</si>
  <si>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</si>
  <si>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</si>
  <si>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>ความยาวสายยางที่สามารถยอมรับได้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</si>
  <si>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</si>
  <si>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</si>
  <si>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</si>
  <si>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</si>
  <si>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</si>
  <si>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L</t>
  </si>
  <si>
    <t>1 เส้น</t>
  </si>
  <si>
    <t>2 เส้น</t>
  </si>
  <si>
    <t>2 ถุงย่อย</t>
  </si>
  <si>
    <t>P-95802-13</t>
  </si>
  <si>
    <t>K9801-60087</t>
  </si>
  <si>
    <t>ABW00018/K9801-60087</t>
  </si>
  <si>
    <t>K9801-60114</t>
  </si>
  <si>
    <t>Tubing Assembly, 4L Bulk Fluid Bottle</t>
  </si>
  <si>
    <t>K9801-60116</t>
  </si>
  <si>
    <t>ABW00018/K9801-60116</t>
  </si>
  <si>
    <t>OD/ID: 7/16"(11.1125mm) 1/4"(6.3500mm)</t>
  </si>
  <si>
    <t>ขนาด 60 เซนติเมตร</t>
  </si>
  <si>
    <t>JOB 7.1</t>
  </si>
  <si>
    <t>JOB 7.2</t>
  </si>
  <si>
    <t>381-386</t>
  </si>
  <si>
    <t>จำนวนที่ตรวจสอบความยาวของสายยาง (MM)</t>
  </si>
  <si>
    <t>330.2-335.5</t>
  </si>
  <si>
    <t>1 กล่อง</t>
  </si>
  <si>
    <t xml:space="preserve"> 1 กล่อง</t>
  </si>
  <si>
    <t>ถุงพลาสติค S</t>
  </si>
  <si>
    <t>4x6 นิ้ว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</si>
  <si>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</si>
  <si>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</si>
  <si>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</si>
  <si>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</si>
  <si>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</si>
  <si>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</si>
  <si>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ถุงพลาสติค packing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</si>
  <si>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</si>
  <si>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</si>
  <si>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</si>
  <si>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</si>
  <si>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จำนวนสายยางที่ตัดได้(เส้น)</t>
  </si>
  <si>
    <t>ในกรณีใช้สายยางไม่เต็มม้วน จะต้องนำไปใช้งานต่อสำหรับ JOB อื่นๆ</t>
  </si>
  <si>
    <t>1 อัน</t>
  </si>
  <si>
    <t>การตรวจสอบคุณภาพก่อนบรรจุ  / QC in process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</si>
  <si>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</si>
  <si>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>เอกสารตรวจสอบผลิตภัณฑ์ QC (Quality Control) สำหรับบรรจุ</t>
  </si>
  <si>
    <t>Lot no</t>
  </si>
  <si>
    <t>MPN</t>
  </si>
  <si>
    <t>Children no.</t>
  </si>
  <si>
    <t>Copy to sticker</t>
  </si>
  <si>
    <t>จำนวนกล่อง</t>
  </si>
  <si>
    <t>BAR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</si>
  <si>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</si>
  <si>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</si>
  <si>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</si>
  <si>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</si>
  <si>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</si>
  <si>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</si>
  <si>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</si>
  <si>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</si>
  <si>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</si>
  <si>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ความสะอาดความสายยางภายในกล่อง</t>
  </si>
  <si>
    <t>เมื่อ scan QR code ข้อมูลถูกต้อง</t>
  </si>
  <si>
    <t xml:space="preserve">เอกสารตรวจสอบผลิตภัณฑ์ QC (Quality Control) </t>
  </si>
  <si>
    <t>จำนวนถุงที่ผลิต</t>
  </si>
  <si>
    <t>QR CODE</t>
  </si>
  <si>
    <t>ความถูกต้องของความยาวของสายยางว่าอยู่ภายในระยะที่กำหนด (ตามรายละเอียดแนบ)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</si>
  <si>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</si>
  <si>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</si>
  <si>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</si>
  <si>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</si>
  <si>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</si>
  <si>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</si>
  <si>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</si>
  <si>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</si>
  <si>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</si>
  <si>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</si>
  <si>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</si>
  <si>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</si>
  <si>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</si>
  <si>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</si>
  <si>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</si>
  <si>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</si>
  <si>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</si>
  <si>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</si>
  <si>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</si>
  <si>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</si>
  <si>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</si>
  <si>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</si>
  <si>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</si>
  <si>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</si>
  <si>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</si>
  <si>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</si>
  <si>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</si>
  <si>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</si>
  <si>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</si>
  <si>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</si>
  <si>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</si>
  <si>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</si>
  <si>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</si>
  <si>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</si>
  <si>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</si>
  <si>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</si>
  <si>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</si>
  <si>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</si>
  <si>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</si>
  <si>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</si>
  <si>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</si>
  <si>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</si>
  <si>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</si>
  <si>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</si>
  <si>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</si>
  <si>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</si>
  <si>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</si>
  <si>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</si>
  <si>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</si>
  <si>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</si>
  <si>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</si>
  <si>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</si>
  <si>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</si>
  <si>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</si>
  <si>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</si>
  <si>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</si>
  <si>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</si>
  <si>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</si>
  <si>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</si>
  <si>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</si>
  <si>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</si>
  <si>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</si>
  <si>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</si>
  <si>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</si>
  <si>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</si>
  <si>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</si>
  <si>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</si>
  <si>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</si>
  <si>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</si>
  <si>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</si>
  <si>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</si>
  <si>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</si>
  <si>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</si>
  <si>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</si>
  <si>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</si>
  <si>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</si>
  <si>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</si>
  <si>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</si>
  <si>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</si>
  <si>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</si>
  <si>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</si>
  <si>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</si>
  <si>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</si>
  <si>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</si>
  <si>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</si>
  <si>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</si>
  <si>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</si>
  <si>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</si>
  <si>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</si>
  <si>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</si>
  <si>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</si>
  <si>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</si>
  <si>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</si>
  <si>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</si>
  <si>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</si>
  <si>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</si>
  <si>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</si>
  <si>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</si>
  <si>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</si>
  <si>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</si>
  <si>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</si>
  <si>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</si>
  <si>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</si>
  <si>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</si>
  <si>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</si>
  <si>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</si>
  <si>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</si>
  <si>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</si>
  <si>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</si>
  <si>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</si>
  <si>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</si>
  <si>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</si>
  <si>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</si>
  <si>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</si>
  <si>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</si>
  <si>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</si>
  <si>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</si>
  <si>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</si>
  <si>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</si>
  <si>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</si>
  <si>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</si>
  <si>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</si>
  <si>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</si>
  <si>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job 15.3</t>
  </si>
  <si>
    <t>330.2-335.2</t>
  </si>
  <si>
    <t>job 15.4</t>
  </si>
  <si>
    <t>228.6-233.6</t>
  </si>
  <si>
    <t>job 15.5</t>
  </si>
  <si>
    <t>203.2-208.2</t>
  </si>
  <si>
    <t>AGA</t>
  </si>
  <si>
    <t>MPN:</t>
  </si>
  <si>
    <t>Children PN:</t>
  </si>
  <si>
    <t>Customer PO</t>
  </si>
  <si>
    <t>PO12345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</si>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</sst>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18">
    <xf numFmtId="0" fontId="0" fillId="0" borderId="0" xfId="0"/>
    <xf numFmtId="0" fontId="6" fillId="0" borderId="0" xfId="0" applyFont="1"/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10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164" fontId="9" fillId="2" borderId="1" xfId="3" applyFont="1" applyFill="1" applyBorder="1" applyAlignment="1">
      <alignment horizontal="right" vertical="center"/>
    </xf>
    <xf numFmtId="0" fontId="9" fillId="0" borderId="1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5" fillId="0" borderId="4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10" fillId="2" borderId="2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vertical="center"/>
    </xf>
    <xf numFmtId="0" fontId="9" fillId="2" borderId="1" xfId="0" quotePrefix="1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1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vertical="center"/>
    </xf>
    <xf numFmtId="0" fontId="9" fillId="2" borderId="7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0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0" fillId="2" borderId="0" xfId="0" applyFill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9" fillId="0" borderId="7" xfId="0" applyFont="1" applyBorder="1"/>
    <xf numFmtId="0" fontId="9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9" fillId="0" borderId="12" xfId="0" applyFont="1" applyBorder="1" applyAlignment="1">
      <alignment horizontal="right" vertical="center"/>
    </xf>
    <xf numFmtId="0" fontId="16" fillId="0" borderId="0" xfId="0" applyFont="1"/>
    <xf numFmtId="0" fontId="9" fillId="2" borderId="0" xfId="0" applyFont="1" applyFill="1" applyAlignment="1">
      <alignment horizontal="center"/>
    </xf>
    <xf numFmtId="0" fontId="9" fillId="2" borderId="0" xfId="0" applyFont="1" applyFill="1" applyAlignment="1">
      <alignment horizontal="left"/>
    </xf>
    <xf numFmtId="0" fontId="9" fillId="2" borderId="0" xfId="0" applyFont="1" applyFill="1"/>
    <xf numFmtId="0" fontId="18" fillId="0" borderId="13" xfId="0" applyFont="1" applyBorder="1" applyAlignment="1">
      <alignment horizontal="left" vertical="center" wrapText="1"/>
    </xf>
    <xf numFmtId="0" fontId="18" fillId="0" borderId="0" xfId="0" applyFont="1"/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/>
    </xf>
    <xf numFmtId="0" fontId="20" fillId="0" borderId="0" xfId="0" applyFont="1"/>
    <xf numFmtId="0" fontId="9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2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0" borderId="0" xfId="0" applyAlignment="1">
      <alignment horizontal="center"/>
    </xf>
    <xf numFmtId="0" fontId="25" fillId="6" borderId="7" xfId="0" applyFont="1" applyFill="1" applyBorder="1"/>
    <xf numFmtId="0" fontId="25" fillId="6" borderId="7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0" xfId="0" applyFont="1" applyFill="1" applyAlignment="1">
      <alignment horizontal="center"/>
    </xf>
    <xf numFmtId="0" fontId="22" fillId="2" borderId="0" xfId="0" applyFont="1" applyFill="1" applyAlignment="1">
      <alignment horizontal="left" vertical="top"/>
    </xf>
    <xf numFmtId="0" fontId="26" fillId="2" borderId="0" xfId="0" applyFont="1" applyFill="1"/>
    <xf numFmtId="0" fontId="9" fillId="2" borderId="0" xfId="0" applyFont="1" applyFill="1" applyAlignment="1">
      <alignment horizontal="left" vertical="center"/>
    </xf>
    <xf numFmtId="165" fontId="9" fillId="6" borderId="0" xfId="3" applyNumberFormat="1" applyFont="1" applyFill="1" applyAlignment="1">
      <alignment horizontal="center" vertical="center"/>
    </xf>
    <xf numFmtId="165" fontId="9" fillId="6" borderId="0" xfId="3" applyNumberFormat="1" applyFont="1" applyFill="1"/>
    <xf numFmtId="0" fontId="25" fillId="2" borderId="7" xfId="0" applyFont="1" applyFill="1" applyBorder="1"/>
    <xf numFmtId="0" fontId="9" fillId="2" borderId="7" xfId="0" applyFont="1" applyFill="1" applyBorder="1"/>
    <xf numFmtId="0" fontId="25" fillId="2" borderId="7" xfId="0" applyFont="1" applyFill="1" applyBorder="1" applyAlignment="1">
      <alignment horizontal="center"/>
    </xf>
    <xf numFmtId="165" fontId="9" fillId="2" borderId="0" xfId="3" applyNumberFormat="1" applyFont="1" applyFill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7" fillId="0" borderId="12" xfId="0" applyFont="1" applyBorder="1" applyAlignment="1">
      <alignment horizontal="center" vertical="center" wrapText="1"/>
    </xf>
    <xf numFmtId="0" fontId="26" fillId="0" borderId="0" xfId="0" applyFont="1"/>
    <xf numFmtId="165" fontId="9" fillId="0" borderId="0" xfId="3" applyNumberFormat="1" applyFont="1" applyAlignment="1">
      <alignment horizontal="center" vertical="center"/>
    </xf>
    <xf numFmtId="0" fontId="18" fillId="2" borderId="0" xfId="0" applyFont="1" applyFill="1" applyAlignment="1">
      <alignment horizontal="left" vertical="center"/>
    </xf>
    <xf numFmtId="14" fontId="25" fillId="6" borderId="7" xfId="0" applyNumberFormat="1" applyFont="1" applyFill="1" applyBorder="1"/>
    <xf numFmtId="0" fontId="12" fillId="0" borderId="0" xfId="0" applyFont="1" applyAlignment="1">
      <alignment horizontal="center" vertical="top" wrapText="1"/>
    </xf>
    <xf numFmtId="0" fontId="19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27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right" vertical="center" wrapText="1"/>
    </xf>
    <xf numFmtId="0" fontId="27" fillId="0" borderId="2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9" fillId="2" borderId="12" xfId="0" quotePrefix="1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11" fillId="2" borderId="13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3" fillId="2" borderId="12" xfId="0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3" xfId="0" applyFont="1" applyFill="1" applyBorder="1" applyAlignment="1">
      <alignment horizontal="center" vertical="center" wrapText="1"/>
    </xf>
    <xf numFmtId="0" fontId="9" fillId="2" borderId="14" xfId="0" quotePrefix="1" applyFont="1" applyFill="1" applyBorder="1" applyAlignment="1">
      <alignment horizontal="center"/>
    </xf>
    <xf numFmtId="0" fontId="9" fillId="2" borderId="13" xfId="0" quotePrefix="1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top" wrapText="1"/>
    </xf>
    <xf numFmtId="0" fontId="22" fillId="2" borderId="6" xfId="0" applyFont="1" applyFill="1" applyBorder="1" applyAlignment="1">
      <alignment horizontal="center" vertical="top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top" wrapText="1"/>
    </xf>
    <xf numFmtId="0" fontId="10" fillId="2" borderId="15" xfId="0" applyFont="1" applyFill="1" applyBorder="1" applyAlignment="1">
      <alignment horizontal="center" vertical="top"/>
    </xf>
    <xf numFmtId="0" fontId="10" fillId="2" borderId="8" xfId="0" applyFont="1" applyFill="1" applyBorder="1" applyAlignment="1">
      <alignment horizontal="center" vertical="top"/>
    </xf>
    <xf numFmtId="0" fontId="9" fillId="2" borderId="2" xfId="0" applyFont="1" applyFill="1" applyBorder="1" applyAlignment="1">
      <alignment horizontal="center" wrapText="1"/>
    </xf>
    <xf numFmtId="0" fontId="9" fillId="2" borderId="3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 wrapText="1"/>
    </xf>
    <xf numFmtId="0" fontId="9" fillId="0" borderId="14" xfId="0" applyFont="1" applyBorder="1" applyAlignment="1">
      <alignment horizontal="center" wrapText="1"/>
    </xf>
    <xf numFmtId="0" fontId="9" fillId="0" borderId="13" xfId="0" applyFont="1" applyBorder="1" applyAlignment="1">
      <alignment horizontal="center" wrapText="1"/>
    </xf>
    <xf numFmtId="0" fontId="9" fillId="0" borderId="12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20" fillId="0" borderId="12" xfId="0" applyFont="1" applyBorder="1" applyAlignment="1">
      <alignment horizontal="left"/>
    </xf>
    <xf numFmtId="0" fontId="20" fillId="0" borderId="13" xfId="0" applyFont="1" applyBorder="1" applyAlignment="1">
      <alignment horizontal="left"/>
    </xf>
    <xf numFmtId="0" fontId="20" fillId="0" borderId="12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0" fillId="0" borderId="12" xfId="0" applyFont="1" applyBorder="1" applyAlignment="1">
      <alignment horizontal="center" wrapText="1"/>
    </xf>
    <xf numFmtId="0" fontId="20" fillId="0" borderId="14" xfId="0" applyFont="1" applyBorder="1" applyAlignment="1">
      <alignment horizontal="center" wrapText="1"/>
    </xf>
    <xf numFmtId="0" fontId="20" fillId="0" borderId="13" xfId="0" applyFont="1" applyBorder="1" applyAlignment="1">
      <alignment horizontal="center" wrapText="1"/>
    </xf>
    <xf numFmtId="0" fontId="18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0" fontId="5" fillId="0" borderId="10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8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14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left" vertical="center"/>
    </xf>
    <xf numFmtId="0" fontId="9" fillId="0" borderId="7" xfId="0" applyFont="1" applyBorder="1" applyAlignment="1">
      <alignment horizontal="center" vertic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7C17ACB-11CA-40C1-ACA8-ED70CCC15307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7277A8B-1B08-44FD-9EB4-59548FCF4F4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9DE3FE3-D146-4B72-B6B8-E30EFCB1DB7D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C492D50-79E3-4231-8EB7-CA6C3AC3393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E4E8B-672D-49B7-991C-6FB1C6FC85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2A9C62-3B1D-4B8E-AF16-F7DAB2E1C91C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61911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C8F7AB-B6E2-4BE9-AC25-1C1B5D3E0CF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FE16F32-BEB9-443C-8B33-D8C9389A73F2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1C0A7-AD3A-4D03-BC3A-AC8B2D9466E4}">
  <dimension ref="A1:O69"/>
  <sheetViews>
    <sheetView zoomScaleNormal="100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1.21875" style="2" hidden="1" customWidth="1"/>
    <col min="6" max="6" width="12.77734375" style="2" customWidth="1"/>
    <col min="7" max="7" width="14.77734375" style="1" customWidth="1"/>
    <col min="8" max="8" width="9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" width="11.44140625" style="1" customWidth="1"/>
    <col min="17" max="16384" width="8.77734375" style="1"/>
  </cols>
  <sheetData>
    <row r="1" spans="1:15" ht="23.25" customHeight="1">
      <c r="A1" s="98" t="s">
        <v>65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</row>
    <row r="2" spans="1:15" ht="11.7" customHeight="1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</row>
    <row r="3" spans="1:15" ht="11.7" customHeight="1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 spans="1:15" ht="11.7" customHeight="1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</row>
    <row r="5" spans="1:15" ht="11.7" customHeight="1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</row>
    <row r="6" spans="1:15" ht="22.8">
      <c r="A6" s="4" t="s">
        <v>36</v>
      </c>
      <c r="N6" s="5"/>
      <c r="O6" s="5" t="s">
        <v>54</v>
      </c>
    </row>
    <row r="7" spans="1:15" s="7" customFormat="1" ht="18" customHeight="1">
      <c r="A7" s="8" t="s">
        <v>3</v>
      </c>
      <c r="B7" s="97">
        <v>46242</v>
      </c>
      <c r="C7" s="49"/>
      <c r="D7" s="8" t="s">
        <v>66</v>
      </c>
      <c r="E7" s="8"/>
      <c r="F7" s="77" t="s">
        <v>235</v>
      </c>
      <c r="G7" s="77"/>
      <c r="J7" s="8"/>
      <c r="K7" s="7" t="s">
        <v>67</v>
      </c>
      <c r="L7" s="49" t="s">
        <v>230</v>
      </c>
      <c r="M7" s="78" t="s">
        <v>235</v>
      </c>
      <c r="N7" s="76"/>
      <c r="O7" s="8"/>
    </row>
    <row r="8" spans="1:15" s="7" customFormat="1" ht="18" customHeight="1">
      <c r="A8" s="8" t="s">
        <v>5</v>
      </c>
      <c r="B8" s="7" t="s">
        <v>38</v>
      </c>
      <c r="D8" s="8" t="s">
        <v>231</v>
      </c>
      <c r="E8" s="8"/>
      <c r="F8" s="80" t="s">
        <v>48</v>
      </c>
      <c r="J8" s="8"/>
      <c r="K8" s="7" t="s">
        <v>13</v>
      </c>
      <c r="M8" s="84"/>
      <c r="N8" s="83">
        <v>2000</v>
      </c>
      <c r="O8" s="8"/>
    </row>
    <row r="9" spans="1:15" s="7" customFormat="1" ht="18" customHeight="1">
      <c r="A9" s="8" t="s">
        <v>4</v>
      </c>
      <c r="B9" s="7" t="s">
        <v>37</v>
      </c>
      <c r="D9" s="7" t="s">
        <v>232</v>
      </c>
      <c r="E9" s="8"/>
      <c r="F9" s="81" t="s">
        <v>46</v>
      </c>
      <c r="J9" s="8"/>
      <c r="K9" s="8" t="s">
        <v>233</v>
      </c>
      <c r="M9" s="79"/>
      <c r="N9" s="79" t="s">
        <v>234</v>
      </c>
      <c r="O9" s="8"/>
    </row>
    <row r="10" spans="1:15" s="15" customFormat="1" ht="21" customHeight="1">
      <c r="A10" s="14"/>
      <c r="D10" s="14"/>
      <c r="E10" s="14"/>
      <c r="F10" s="14"/>
      <c r="J10" s="14"/>
      <c r="K10" s="14"/>
      <c r="N10" s="14"/>
      <c r="O10" s="14"/>
    </row>
    <row r="11" spans="1:15" s="15" customFormat="1" ht="21" customHeight="1">
      <c r="A11" s="14"/>
      <c r="B11" s="54" t="s">
        <v>0</v>
      </c>
      <c r="C11" s="54" t="s">
        <v>52</v>
      </c>
      <c r="D11" s="55"/>
      <c r="E11" s="14"/>
      <c r="F11" s="14"/>
      <c r="J11" s="14"/>
      <c r="K11" s="8"/>
      <c r="L11" s="100"/>
      <c r="M11" s="100"/>
      <c r="N11" s="100"/>
      <c r="O11" s="100"/>
    </row>
    <row r="12" spans="1:15" s="7" customFormat="1" ht="21" customHeight="1">
      <c r="A12" s="8"/>
      <c r="B12" s="7" t="s">
        <v>99</v>
      </c>
      <c r="C12" t="s">
        <v>2</v>
      </c>
      <c r="D12" s="8"/>
      <c r="E12" s="8"/>
      <c r="F12" s="8"/>
      <c r="J12" s="8"/>
      <c r="K12" s="8"/>
      <c r="L12" s="14"/>
      <c r="M12" s="14"/>
      <c r="N12" s="14"/>
      <c r="O12" s="14"/>
    </row>
    <row r="13" spans="1:15" s="15" customFormat="1" ht="21" customHeight="1">
      <c r="A13" s="16" t="s">
        <v>30</v>
      </c>
      <c r="D13" s="14"/>
      <c r="E13" s="14"/>
      <c r="F13" s="14"/>
      <c r="J13" s="14"/>
      <c r="K13" s="8"/>
      <c r="L13" s="7"/>
      <c r="N13" s="14"/>
      <c r="O13" s="14"/>
    </row>
    <row r="14" spans="1:15" s="15" customFormat="1" ht="21" customHeight="1">
      <c r="A14" s="14"/>
      <c r="D14" s="14"/>
      <c r="E14" s="14"/>
      <c r="F14" s="14"/>
      <c r="J14" s="14"/>
      <c r="K14" s="8"/>
      <c r="L14" s="7"/>
      <c r="N14" s="14"/>
      <c r="O14" s="14"/>
    </row>
    <row r="15" spans="1:15" s="91" customFormat="1" ht="21" customHeight="1">
      <c r="A15" s="109" t="s">
        <v>17</v>
      </c>
      <c r="B15" s="111" t="s">
        <v>16</v>
      </c>
      <c r="C15" s="109" t="s">
        <v>15</v>
      </c>
      <c r="D15" s="109" t="s">
        <v>14</v>
      </c>
      <c r="E15" s="113" t="s">
        <v>33</v>
      </c>
      <c r="F15" s="115" t="s">
        <v>34</v>
      </c>
      <c r="G15" s="104" t="s">
        <v>33</v>
      </c>
      <c r="H15" s="106" t="s">
        <v>32</v>
      </c>
      <c r="J15" s="92"/>
      <c r="K15" s="108"/>
    </row>
    <row r="16" spans="1:15" s="91" customFormat="1" ht="21" customHeight="1">
      <c r="A16" s="109"/>
      <c r="B16" s="112"/>
      <c r="C16" s="109"/>
      <c r="D16" s="109"/>
      <c r="E16" s="114"/>
      <c r="F16" s="116"/>
      <c r="G16" s="105"/>
      <c r="H16" s="107"/>
      <c r="J16" s="92"/>
      <c r="K16" s="108"/>
    </row>
    <row r="17" spans="1:15" s="15" customFormat="1" ht="21" customHeight="1">
      <c r="A17" s="19">
        <v>1</v>
      </c>
      <c r="B17" s="52" t="s">
        <v>6</v>
      </c>
      <c r="C17" s="51" t="s">
        <v>0</v>
      </c>
      <c r="D17" s="50">
        <v>2</v>
      </c>
      <c r="E17" s="20">
        <f>D17*N8*(I44+J44)</f>
        <v>1544000</v>
      </c>
      <c r="F17" s="10">
        <v>50</v>
      </c>
      <c r="G17" s="48">
        <f>E17</f>
        <v>1544000</v>
      </c>
      <c r="H17" s="48">
        <f>G17*0.00328/F17</f>
        <v>101.2864</v>
      </c>
      <c r="K17" s="99" t="s">
        <v>83</v>
      </c>
      <c r="L17" s="7"/>
    </row>
    <row r="18" spans="1:15" s="15" customFormat="1" ht="21" customHeight="1">
      <c r="A18" s="12">
        <v>2</v>
      </c>
      <c r="B18" s="21" t="s">
        <v>31</v>
      </c>
      <c r="C18" s="21"/>
      <c r="D18" s="12"/>
      <c r="E18" s="12"/>
      <c r="F18" s="12"/>
      <c r="G18" s="21"/>
      <c r="H18" s="21"/>
      <c r="J18" s="14"/>
      <c r="K18" s="99"/>
      <c r="L18" s="7"/>
      <c r="N18" s="14"/>
      <c r="O18" s="14"/>
    </row>
    <row r="19" spans="1:15" s="15" customFormat="1" ht="21" customHeight="1">
      <c r="A19" s="12">
        <v>3</v>
      </c>
      <c r="B19" s="21" t="s">
        <v>40</v>
      </c>
      <c r="C19" s="21"/>
      <c r="D19" s="12" t="s">
        <v>59</v>
      </c>
      <c r="E19" s="12"/>
      <c r="F19" s="12"/>
      <c r="G19" s="21"/>
      <c r="H19" s="21"/>
      <c r="J19" s="14"/>
      <c r="K19" s="6"/>
      <c r="L19" s="7"/>
      <c r="N19" s="14"/>
      <c r="O19" s="14"/>
    </row>
    <row r="20" spans="1:15" s="15" customFormat="1" ht="21" customHeight="1">
      <c r="A20" s="12">
        <v>4</v>
      </c>
      <c r="B20" s="21" t="s">
        <v>63</v>
      </c>
      <c r="C20" s="21"/>
      <c r="D20" s="12" t="s">
        <v>64</v>
      </c>
      <c r="E20" s="12"/>
      <c r="F20" s="12"/>
      <c r="G20" s="21"/>
      <c r="H20" s="21"/>
      <c r="J20" s="14"/>
      <c r="K20" s="6"/>
      <c r="L20" s="7"/>
      <c r="N20" s="14"/>
      <c r="O20" s="14"/>
    </row>
    <row r="21" spans="1:15" s="15" customFormat="1" ht="21" customHeight="1">
      <c r="A21" s="12">
        <v>5</v>
      </c>
      <c r="B21" s="53" t="s">
        <v>7</v>
      </c>
      <c r="C21" s="50" t="s">
        <v>8</v>
      </c>
      <c r="D21" s="50">
        <f>N8</f>
        <v>2000</v>
      </c>
      <c r="E21" s="12"/>
      <c r="F21" s="12"/>
      <c r="G21" s="21"/>
      <c r="H21" s="21"/>
      <c r="J21" s="14"/>
      <c r="K21" s="6"/>
      <c r="L21" s="7"/>
      <c r="N21" s="14"/>
      <c r="O21" s="14"/>
    </row>
    <row r="22" spans="1:15" s="15" customFormat="1" ht="21" customHeight="1">
      <c r="A22" s="12">
        <v>6</v>
      </c>
      <c r="B22" s="53" t="s">
        <v>11</v>
      </c>
      <c r="C22" s="50" t="s">
        <v>12</v>
      </c>
      <c r="D22" s="50">
        <f>N8</f>
        <v>2000</v>
      </c>
      <c r="E22" s="12"/>
      <c r="F22" s="12"/>
      <c r="G22" s="21"/>
      <c r="H22" s="21"/>
      <c r="J22" s="14"/>
      <c r="K22" s="6"/>
      <c r="L22" s="7"/>
      <c r="N22" s="14"/>
      <c r="O22" s="14"/>
    </row>
    <row r="23" spans="1:15" s="15" customFormat="1" ht="21" customHeight="1">
      <c r="A23" s="12">
        <v>7</v>
      </c>
      <c r="B23" s="21" t="s">
        <v>27</v>
      </c>
      <c r="C23" s="12" t="s">
        <v>53</v>
      </c>
      <c r="D23" s="12"/>
      <c r="E23" s="12"/>
      <c r="F23" s="12"/>
      <c r="G23" s="21"/>
      <c r="H23" s="21"/>
      <c r="J23" s="14"/>
      <c r="K23" s="6"/>
      <c r="L23" s="7"/>
      <c r="N23" s="14"/>
      <c r="O23" s="14"/>
    </row>
    <row r="24" spans="1:15" s="15" customFormat="1" ht="21" customHeight="1">
      <c r="A24" s="12">
        <v>8</v>
      </c>
      <c r="B24" s="21" t="s">
        <v>69</v>
      </c>
      <c r="C24" s="21"/>
      <c r="D24" s="12"/>
      <c r="E24" s="12"/>
      <c r="F24" s="12"/>
      <c r="G24" s="21"/>
      <c r="H24" s="21"/>
      <c r="J24" s="14"/>
      <c r="K24" s="6"/>
      <c r="L24" s="56"/>
      <c r="M24" s="57"/>
    </row>
    <row r="25" spans="1:15" s="15" customFormat="1" ht="21" customHeight="1">
      <c r="A25" s="14"/>
      <c r="D25" s="14"/>
      <c r="E25" s="14"/>
      <c r="F25" s="14"/>
      <c r="J25" s="14"/>
      <c r="K25" s="14"/>
      <c r="N25" s="14"/>
      <c r="O25" s="14"/>
    </row>
    <row r="26" spans="1:15" s="15" customFormat="1" ht="21" customHeight="1">
      <c r="A26" s="3" t="s">
        <v>77</v>
      </c>
      <c r="D26" s="14"/>
      <c r="E26" s="14"/>
      <c r="F26" s="14"/>
      <c r="I26" s="54" t="s">
        <v>75</v>
      </c>
      <c r="J26" s="55"/>
      <c r="K26" s="54"/>
      <c r="L26" s="54"/>
      <c r="M26" s="55"/>
      <c r="N26" s="54"/>
    </row>
    <row r="27" spans="1:15" s="15" customFormat="1" ht="21" customHeight="1">
      <c r="A27" s="14"/>
      <c r="D27" s="14"/>
      <c r="E27" s="14"/>
      <c r="F27" s="14"/>
      <c r="J27" s="14"/>
      <c r="K27" s="14"/>
      <c r="N27" s="14"/>
      <c r="O27" s="14"/>
    </row>
    <row r="28" spans="1:15" s="91" customFormat="1" ht="21" customHeight="1">
      <c r="A28" s="109" t="s">
        <v>17</v>
      </c>
      <c r="B28" s="109" t="s">
        <v>16</v>
      </c>
      <c r="C28" s="109" t="s">
        <v>15</v>
      </c>
      <c r="D28" s="109" t="s">
        <v>14</v>
      </c>
      <c r="E28" s="89"/>
      <c r="F28" s="110" t="s">
        <v>74</v>
      </c>
      <c r="G28" s="104" t="s">
        <v>70</v>
      </c>
      <c r="H28" s="104"/>
      <c r="I28" s="104"/>
      <c r="J28" s="131"/>
      <c r="K28" s="104" t="s">
        <v>57</v>
      </c>
      <c r="L28" s="104"/>
      <c r="M28" s="104"/>
      <c r="N28" s="104" t="s">
        <v>68</v>
      </c>
      <c r="O28" s="94"/>
    </row>
    <row r="29" spans="1:15" s="91" customFormat="1" ht="21" customHeight="1">
      <c r="A29" s="109"/>
      <c r="B29" s="109"/>
      <c r="C29" s="109"/>
      <c r="D29" s="109"/>
      <c r="E29" s="89"/>
      <c r="F29" s="110"/>
      <c r="G29" s="90" t="s">
        <v>71</v>
      </c>
      <c r="H29" s="90" t="s">
        <v>72</v>
      </c>
      <c r="I29" s="90" t="s">
        <v>73</v>
      </c>
      <c r="J29" s="93" t="s">
        <v>68</v>
      </c>
      <c r="K29" s="89" t="s">
        <v>26</v>
      </c>
      <c r="L29" s="90" t="s">
        <v>23</v>
      </c>
      <c r="M29" s="90" t="s">
        <v>24</v>
      </c>
      <c r="N29" s="104"/>
      <c r="O29" s="94"/>
    </row>
    <row r="30" spans="1:15" s="15" customFormat="1" ht="21" customHeight="1">
      <c r="A30" s="101">
        <v>7.1</v>
      </c>
      <c r="B30" s="133" t="s">
        <v>49</v>
      </c>
      <c r="C30" s="136" t="s">
        <v>47</v>
      </c>
      <c r="D30" s="139">
        <v>2</v>
      </c>
      <c r="E30" s="10"/>
      <c r="F30" s="142">
        <f>N8*D30</f>
        <v>4000</v>
      </c>
      <c r="G30" s="58"/>
      <c r="H30" s="58"/>
      <c r="I30" s="58"/>
      <c r="J30" s="59"/>
      <c r="K30" s="132" t="s">
        <v>56</v>
      </c>
      <c r="L30" s="10"/>
      <c r="M30" s="21"/>
      <c r="N30" s="21"/>
      <c r="O30" s="7"/>
    </row>
    <row r="31" spans="1:15" s="15" customFormat="1" ht="21" customHeight="1">
      <c r="A31" s="102"/>
      <c r="B31" s="134"/>
      <c r="C31" s="137"/>
      <c r="D31" s="140"/>
      <c r="E31" s="21"/>
      <c r="F31" s="143"/>
      <c r="G31" s="58"/>
      <c r="H31" s="58"/>
      <c r="I31" s="58"/>
      <c r="J31" s="59"/>
      <c r="K31" s="132"/>
      <c r="L31" s="12"/>
      <c r="M31" s="21"/>
      <c r="N31" s="21"/>
      <c r="O31" s="7"/>
    </row>
    <row r="32" spans="1:15" s="15" customFormat="1" ht="21" customHeight="1">
      <c r="A32" s="102"/>
      <c r="B32" s="134"/>
      <c r="C32" s="137"/>
      <c r="D32" s="140"/>
      <c r="E32" s="21"/>
      <c r="F32" s="143"/>
      <c r="G32" s="58"/>
      <c r="H32" s="58"/>
      <c r="I32" s="58"/>
      <c r="J32" s="59"/>
      <c r="K32" s="132"/>
      <c r="L32" s="21"/>
      <c r="M32" s="21"/>
      <c r="N32" s="21"/>
      <c r="O32" s="7"/>
    </row>
    <row r="33" spans="1:15" s="15" customFormat="1" ht="21" customHeight="1">
      <c r="A33" s="102"/>
      <c r="B33" s="134"/>
      <c r="C33" s="137"/>
      <c r="D33" s="140"/>
      <c r="E33" s="21"/>
      <c r="F33" s="143"/>
      <c r="G33" s="58"/>
      <c r="H33" s="58"/>
      <c r="I33" s="58"/>
      <c r="J33" s="59"/>
      <c r="K33" s="132"/>
      <c r="L33" s="21"/>
      <c r="M33" s="21"/>
      <c r="N33" s="21"/>
      <c r="O33" s="7"/>
    </row>
    <row r="34" spans="1:15" s="15" customFormat="1" ht="21" customHeight="1">
      <c r="A34" s="102"/>
      <c r="B34" s="134"/>
      <c r="C34" s="137"/>
      <c r="D34" s="140"/>
      <c r="E34" s="21"/>
      <c r="F34" s="143"/>
      <c r="G34" s="58"/>
      <c r="H34" s="58"/>
      <c r="I34" s="58"/>
      <c r="J34" s="59"/>
      <c r="K34" s="132"/>
      <c r="L34" s="21"/>
      <c r="M34" s="21"/>
      <c r="N34" s="21"/>
      <c r="O34" s="7"/>
    </row>
    <row r="35" spans="1:15" s="15" customFormat="1" ht="21" customHeight="1">
      <c r="A35" s="102"/>
      <c r="B35" s="134"/>
      <c r="C35" s="137"/>
      <c r="D35" s="140"/>
      <c r="E35" s="21"/>
      <c r="F35" s="143"/>
      <c r="G35" s="58"/>
      <c r="H35" s="58"/>
      <c r="I35" s="58"/>
      <c r="J35" s="59"/>
      <c r="K35" s="132"/>
      <c r="L35" s="21"/>
      <c r="M35" s="21"/>
      <c r="N35" s="21"/>
      <c r="O35" s="7"/>
    </row>
    <row r="36" spans="1:15" s="15" customFormat="1" ht="21" customHeight="1">
      <c r="A36" s="102"/>
      <c r="B36" s="134"/>
      <c r="C36" s="137"/>
      <c r="D36" s="140"/>
      <c r="E36" s="12"/>
      <c r="F36" s="143"/>
      <c r="G36" s="58"/>
      <c r="H36" s="58"/>
      <c r="I36" s="58"/>
      <c r="J36" s="59"/>
      <c r="K36" s="132"/>
      <c r="L36" s="21"/>
      <c r="M36" s="21"/>
      <c r="N36" s="21"/>
      <c r="O36" s="7"/>
    </row>
    <row r="37" spans="1:15" s="15" customFormat="1" ht="21" customHeight="1">
      <c r="A37" s="103"/>
      <c r="B37" s="135"/>
      <c r="C37" s="138"/>
      <c r="D37" s="141"/>
      <c r="E37" s="12"/>
      <c r="F37" s="144"/>
      <c r="G37" s="58"/>
      <c r="H37" s="58"/>
      <c r="I37" s="58"/>
      <c r="J37" s="59"/>
      <c r="K37" s="132"/>
      <c r="L37" s="21"/>
      <c r="M37" s="21"/>
      <c r="N37" s="21"/>
      <c r="O37" s="7"/>
    </row>
    <row r="38" spans="1:15" s="15" customFormat="1" ht="21" customHeight="1">
      <c r="A38" s="14"/>
      <c r="C38" s="14"/>
      <c r="D38" s="14"/>
      <c r="E38" s="14"/>
      <c r="F38" s="26"/>
      <c r="I38" s="14"/>
      <c r="J38" s="14"/>
      <c r="M38" s="14"/>
      <c r="N38" s="14"/>
    </row>
    <row r="39" spans="1:15" s="15" customFormat="1" ht="21" hidden="1" customHeight="1">
      <c r="A39" s="16" t="s">
        <v>28</v>
      </c>
      <c r="D39" s="14"/>
      <c r="E39" s="14"/>
      <c r="F39" s="14"/>
      <c r="J39" s="14"/>
      <c r="K39" s="14"/>
      <c r="N39" s="14"/>
      <c r="O39" s="14"/>
    </row>
    <row r="40" spans="1:15" s="15" customFormat="1" ht="21" hidden="1" customHeight="1">
      <c r="A40" s="14"/>
      <c r="D40" s="14"/>
      <c r="E40" s="14"/>
      <c r="F40" s="14"/>
      <c r="J40" s="14"/>
      <c r="K40" s="14"/>
      <c r="N40" s="14"/>
      <c r="O40" s="14"/>
    </row>
    <row r="41" spans="1:15" s="17" customFormat="1" ht="21" hidden="1" customHeight="1">
      <c r="A41" s="118" t="s">
        <v>17</v>
      </c>
      <c r="B41" s="118" t="s">
        <v>18</v>
      </c>
      <c r="C41" s="118" t="s">
        <v>19</v>
      </c>
      <c r="D41" s="121" t="s">
        <v>19</v>
      </c>
      <c r="E41" s="27"/>
      <c r="F41" s="118" t="s">
        <v>20</v>
      </c>
      <c r="G41" s="118" t="s">
        <v>15</v>
      </c>
      <c r="H41" s="124" t="s">
        <v>29</v>
      </c>
      <c r="I41" s="124" t="s">
        <v>25</v>
      </c>
      <c r="J41" s="124" t="s">
        <v>26</v>
      </c>
      <c r="K41" s="124" t="s">
        <v>35</v>
      </c>
      <c r="L41" s="127" t="s">
        <v>21</v>
      </c>
      <c r="M41" s="128"/>
      <c r="N41" s="117" t="s">
        <v>22</v>
      </c>
      <c r="O41" s="117"/>
    </row>
    <row r="42" spans="1:15" s="17" customFormat="1" ht="21" hidden="1" customHeight="1">
      <c r="A42" s="119"/>
      <c r="B42" s="119"/>
      <c r="C42" s="119"/>
      <c r="D42" s="122"/>
      <c r="F42" s="119"/>
      <c r="G42" s="119"/>
      <c r="H42" s="125"/>
      <c r="I42" s="125"/>
      <c r="J42" s="125"/>
      <c r="K42" s="125"/>
      <c r="L42" s="129"/>
      <c r="M42" s="130"/>
      <c r="N42" s="117"/>
      <c r="O42" s="117"/>
    </row>
    <row r="43" spans="1:15" s="17" customFormat="1" ht="21" hidden="1" customHeight="1">
      <c r="A43" s="120"/>
      <c r="B43" s="120"/>
      <c r="C43" s="120"/>
      <c r="D43" s="123"/>
      <c r="E43" s="29"/>
      <c r="F43" s="120"/>
      <c r="G43" s="120"/>
      <c r="H43" s="126"/>
      <c r="I43" s="126"/>
      <c r="J43" s="126"/>
      <c r="K43" s="126"/>
      <c r="L43" s="28" t="s">
        <v>23</v>
      </c>
      <c r="M43" s="18" t="s">
        <v>24</v>
      </c>
      <c r="N43" s="9" t="s">
        <v>23</v>
      </c>
      <c r="O43" s="13" t="s">
        <v>24</v>
      </c>
    </row>
    <row r="44" spans="1:15" s="33" customFormat="1" ht="21" hidden="1" customHeight="1">
      <c r="A44" s="19">
        <v>1</v>
      </c>
      <c r="B44" s="30" t="s">
        <v>48</v>
      </c>
      <c r="C44" s="30" t="s">
        <v>49</v>
      </c>
      <c r="D44" s="31" t="s">
        <v>46</v>
      </c>
      <c r="E44" s="31" t="s">
        <v>45</v>
      </c>
      <c r="F44" s="10" t="s">
        <v>10</v>
      </c>
      <c r="G44" s="24" t="s">
        <v>0</v>
      </c>
      <c r="H44" s="10" t="s">
        <v>43</v>
      </c>
      <c r="I44" s="31">
        <v>381</v>
      </c>
      <c r="J44" s="32" t="s">
        <v>1</v>
      </c>
      <c r="K44" s="10" t="s">
        <v>56</v>
      </c>
      <c r="L44" s="31"/>
      <c r="M44" s="31"/>
      <c r="N44" s="31"/>
      <c r="O44" s="31"/>
    </row>
    <row r="45" spans="1:15" s="33" customFormat="1" ht="21" hidden="1" customHeight="1">
      <c r="A45" s="10">
        <v>2</v>
      </c>
      <c r="B45" s="34" t="s">
        <v>48</v>
      </c>
      <c r="C45" s="31"/>
      <c r="D45" s="34" t="s">
        <v>48</v>
      </c>
      <c r="E45" s="10"/>
      <c r="F45" s="10" t="s">
        <v>41</v>
      </c>
      <c r="G45" s="31"/>
      <c r="H45" s="10" t="s">
        <v>44</v>
      </c>
      <c r="I45" s="31"/>
      <c r="J45" s="10"/>
      <c r="K45" s="10"/>
      <c r="L45" s="31"/>
      <c r="M45" s="31"/>
      <c r="N45" s="10"/>
      <c r="O45" s="10"/>
    </row>
    <row r="46" spans="1:15" s="33" customFormat="1" ht="21" hidden="1" customHeight="1">
      <c r="A46" s="11"/>
      <c r="D46" s="11"/>
      <c r="E46" s="11"/>
      <c r="F46" s="11"/>
      <c r="H46" s="11"/>
      <c r="J46" s="11"/>
      <c r="K46" s="11"/>
      <c r="M46" s="35"/>
      <c r="N46" s="36"/>
      <c r="O46" s="36"/>
    </row>
    <row r="47" spans="1:15" s="15" customFormat="1" ht="21" hidden="1" customHeight="1">
      <c r="A47" s="14"/>
      <c r="D47" s="14"/>
      <c r="E47" s="14"/>
      <c r="F47" s="14"/>
      <c r="I47" s="15" t="s">
        <v>2</v>
      </c>
      <c r="J47" s="14"/>
      <c r="K47" s="15" t="s">
        <v>39</v>
      </c>
      <c r="M47" s="22"/>
      <c r="N47" s="25"/>
      <c r="O47" s="25"/>
    </row>
    <row r="48" spans="1:15" s="33" customFormat="1" ht="21" customHeight="1">
      <c r="A48" s="16"/>
      <c r="D48" s="11"/>
      <c r="E48" s="11"/>
      <c r="F48" s="11"/>
      <c r="J48" s="11"/>
      <c r="K48" s="11"/>
      <c r="N48" s="11"/>
      <c r="O48" s="11"/>
    </row>
    <row r="49" spans="1:15" s="33" customFormat="1" ht="21" customHeight="1">
      <c r="A49" s="11"/>
      <c r="B49" s="37"/>
      <c r="D49" s="38"/>
    </row>
    <row r="50" spans="1:15" s="33" customFormat="1" ht="21" customHeight="1">
      <c r="A50" s="11"/>
      <c r="B50" s="37"/>
      <c r="C50" s="38"/>
      <c r="D50" s="38"/>
    </row>
    <row r="51" spans="1:15" s="33" customFormat="1" ht="21" customHeight="1">
      <c r="A51" s="11"/>
      <c r="D51" s="11"/>
      <c r="E51" s="11"/>
      <c r="F51" s="11"/>
      <c r="J51" s="11"/>
      <c r="K51" s="11"/>
      <c r="N51" s="11"/>
      <c r="O51" s="11"/>
    </row>
    <row r="52" spans="1:15" s="33" customFormat="1" ht="21" customHeight="1">
      <c r="A52" s="11"/>
      <c r="D52" s="11"/>
      <c r="E52" s="11"/>
      <c r="F52" s="11"/>
      <c r="J52" s="11"/>
      <c r="K52" s="11"/>
      <c r="N52" s="11"/>
      <c r="O52" s="11"/>
    </row>
    <row r="53" spans="1:15" s="33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33" customFormat="1" ht="21" customHeight="1">
      <c r="A54" s="11"/>
      <c r="D54" s="11"/>
      <c r="E54" s="11"/>
      <c r="F54" s="11"/>
      <c r="J54" s="11"/>
      <c r="K54" s="11"/>
      <c r="N54" s="11"/>
      <c r="O54" s="11"/>
    </row>
    <row r="55" spans="1:15" s="15" customFormat="1" ht="21" customHeight="1">
      <c r="A55" s="14"/>
      <c r="D55" s="14"/>
      <c r="E55" s="14"/>
      <c r="F55" s="14"/>
      <c r="J55" s="14"/>
      <c r="K55" s="14"/>
      <c r="N55" s="14"/>
      <c r="O55" s="14"/>
    </row>
    <row r="56" spans="1:15" s="15" customFormat="1" ht="21" customHeight="1">
      <c r="A56" s="14"/>
      <c r="D56" s="14"/>
      <c r="E56" s="14"/>
      <c r="F56" s="14"/>
      <c r="J56" s="14"/>
      <c r="K56" s="14"/>
      <c r="N56" s="14"/>
      <c r="O56" s="14"/>
    </row>
    <row r="57" spans="1:15" s="15" customFormat="1" ht="21" customHeight="1">
      <c r="A57" s="14"/>
      <c r="D57" s="14"/>
      <c r="E57" s="14"/>
      <c r="F57" s="14"/>
      <c r="J57" s="14"/>
      <c r="K57" s="14"/>
      <c r="N57" s="14"/>
      <c r="O57" s="14"/>
    </row>
    <row r="58" spans="1:15" s="15" customFormat="1" ht="21" customHeight="1">
      <c r="A58" s="14"/>
      <c r="D58" s="14"/>
      <c r="E58" s="14"/>
      <c r="F58" s="14"/>
      <c r="J58" s="14"/>
      <c r="K58" s="14"/>
      <c r="N58" s="14"/>
      <c r="O58" s="14"/>
    </row>
    <row r="59" spans="1:15" s="15" customFormat="1" ht="21" customHeight="1">
      <c r="A59" s="14"/>
      <c r="D59" s="14"/>
      <c r="E59" s="14"/>
      <c r="F59" s="14"/>
      <c r="J59" s="14"/>
      <c r="K59" s="14"/>
      <c r="N59" s="14"/>
      <c r="O59" s="14"/>
    </row>
    <row r="60" spans="1:15" s="15" customFormat="1" ht="21" customHeight="1">
      <c r="A60" s="14"/>
      <c r="D60" s="14"/>
      <c r="E60" s="14"/>
      <c r="F60" s="14"/>
      <c r="J60" s="14"/>
      <c r="K60" s="14"/>
      <c r="N60" s="14"/>
      <c r="O60" s="14"/>
    </row>
    <row r="61" spans="1:15" s="15" customFormat="1" ht="21" customHeight="1">
      <c r="A61" s="14"/>
      <c r="D61" s="14"/>
      <c r="E61" s="14"/>
      <c r="F61" s="14"/>
      <c r="J61" s="14"/>
      <c r="K61" s="14"/>
      <c r="N61" s="14"/>
      <c r="O61" s="14"/>
    </row>
    <row r="62" spans="1:15" s="15" customFormat="1" ht="21" customHeight="1">
      <c r="A62" s="14"/>
      <c r="D62" s="14"/>
      <c r="E62" s="14"/>
      <c r="F62" s="14"/>
      <c r="J62" s="14"/>
      <c r="K62" s="14"/>
      <c r="N62" s="14"/>
      <c r="O62" s="14"/>
    </row>
    <row r="63" spans="1:15" s="15" customFormat="1" ht="21" customHeight="1">
      <c r="A63" s="14"/>
      <c r="D63" s="14"/>
      <c r="E63" s="14"/>
      <c r="F63" s="14"/>
      <c r="J63" s="14"/>
      <c r="K63" s="14"/>
      <c r="N63" s="14"/>
      <c r="O63" s="14"/>
    </row>
    <row r="64" spans="1:15" s="15" customFormat="1" ht="21" customHeight="1">
      <c r="A64" s="14"/>
      <c r="D64" s="14"/>
      <c r="E64" s="14"/>
      <c r="F64" s="14"/>
      <c r="J64" s="14"/>
      <c r="K64" s="14"/>
      <c r="N64" s="14"/>
      <c r="O64" s="14"/>
    </row>
    <row r="65" spans="1:15" s="15" customFormat="1" ht="21" customHeight="1">
      <c r="A65" s="14"/>
      <c r="D65" s="14"/>
      <c r="E65" s="14"/>
      <c r="F65" s="14"/>
      <c r="J65" s="14"/>
      <c r="K65" s="14"/>
      <c r="N65" s="14"/>
      <c r="O65" s="14"/>
    </row>
    <row r="66" spans="1:15" s="15" customFormat="1" ht="21" customHeight="1">
      <c r="A66" s="14"/>
      <c r="D66" s="14"/>
      <c r="E66" s="14"/>
      <c r="F66" s="14"/>
      <c r="J66" s="14"/>
      <c r="K66" s="14"/>
      <c r="N66" s="14"/>
      <c r="O66" s="14"/>
    </row>
    <row r="67" spans="1:15" s="15" customFormat="1" ht="21" customHeight="1">
      <c r="A67" s="14"/>
      <c r="D67" s="14"/>
      <c r="E67" s="14"/>
      <c r="F67" s="14"/>
      <c r="J67" s="14"/>
      <c r="K67" s="14"/>
      <c r="N67" s="14"/>
      <c r="O67" s="14"/>
    </row>
    <row r="68" spans="1:15" s="15" customFormat="1" ht="21" customHeight="1">
      <c r="A68" s="14"/>
      <c r="D68" s="14"/>
      <c r="E68" s="14"/>
      <c r="F68" s="14"/>
      <c r="J68" s="14"/>
      <c r="K68" s="14"/>
      <c r="N68" s="14"/>
      <c r="O68" s="14"/>
    </row>
    <row r="69" spans="1:15" s="15" customFormat="1" ht="21" customHeight="1">
      <c r="A69" s="14"/>
      <c r="D69" s="14"/>
      <c r="E69" s="14"/>
      <c r="F69" s="14"/>
      <c r="J69" s="14"/>
      <c r="K69" s="14"/>
      <c r="N69" s="14"/>
      <c r="O69" s="14"/>
    </row>
  </sheetData>
  <mergeCells count="38">
    <mergeCell ref="N28:N29"/>
    <mergeCell ref="K30:K37"/>
    <mergeCell ref="B30:B37"/>
    <mergeCell ref="C30:C37"/>
    <mergeCell ref="D30:D37"/>
    <mergeCell ref="F30:F37"/>
    <mergeCell ref="E15:E16"/>
    <mergeCell ref="F15:F16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G28:J28"/>
    <mergeCell ref="K28:M28"/>
    <mergeCell ref="A1:N5"/>
    <mergeCell ref="K17:K18"/>
    <mergeCell ref="L11:O11"/>
    <mergeCell ref="A30:A37"/>
    <mergeCell ref="G15:G16"/>
    <mergeCell ref="H15:H16"/>
    <mergeCell ref="K15:K16"/>
    <mergeCell ref="A28:A29"/>
    <mergeCell ref="B28:B29"/>
    <mergeCell ref="C28:C29"/>
    <mergeCell ref="D28:D29"/>
    <mergeCell ref="F28:F29"/>
    <mergeCell ref="A15:A16"/>
    <mergeCell ref="B15:B16"/>
    <mergeCell ref="C15:C16"/>
    <mergeCell ref="D15:D16"/>
  </mergeCells>
  <pageMargins left="0.118110236220472" right="0" top="0.15748031496063" bottom="0" header="0.31496062992126" footer="0.31496062992126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CCEBF-EE4D-40EB-93FC-3C9B4F6B4647}">
  <dimension ref="A1:O67"/>
  <sheetViews>
    <sheetView tabSelected="1" zoomScale="96" zoomScaleNormal="96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1.2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" width="11.44140625" style="1" customWidth="1"/>
    <col min="17" max="16384" width="8.77734375" style="1"/>
  </cols>
  <sheetData>
    <row r="1" spans="1:15" ht="23.25" customHeight="1">
      <c r="A1" s="98" t="s">
        <v>65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</row>
    <row r="2" spans="1:15" ht="11.7" customHeight="1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</row>
    <row r="3" spans="1:15" ht="11.7" customHeight="1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 spans="1:15" ht="11.7" customHeight="1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</row>
    <row r="5" spans="1:15" ht="11.7" customHeight="1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</row>
    <row r="6" spans="1:15" ht="22.8">
      <c r="A6" s="4" t="s">
        <v>36</v>
      </c>
      <c r="N6" s="5"/>
      <c r="O6" s="5" t="s">
        <v>55</v>
      </c>
    </row>
    <row r="7" spans="1:15" s="63" customFormat="1" ht="18" customHeight="1">
      <c r="A7" s="61" t="s">
        <v>3</v>
      </c>
      <c r="B7" s="97">
        <v>46242</v>
      </c>
      <c r="C7" s="86"/>
      <c r="D7" s="61" t="s">
        <v>66</v>
      </c>
      <c r="E7" s="61"/>
      <c r="F7" s="87" t="str">
        <f>'ใบงาน Agilent_JOB 7.1'!F7</f>
        <v>xxx</v>
      </c>
      <c r="G7" s="87"/>
      <c r="J7" s="61"/>
      <c r="K7" s="63" t="s">
        <v>67</v>
      </c>
      <c r="L7" s="86" t="s">
        <v>230</v>
      </c>
      <c r="M7" s="86" t="str">
        <f>'ใบงาน Agilent_JOB 7.1'!M7</f>
        <v>xxx</v>
      </c>
      <c r="N7" s="85"/>
      <c r="O7" s="61"/>
    </row>
    <row r="8" spans="1:15" s="63" customFormat="1" ht="18" customHeight="1">
      <c r="A8" s="61" t="s">
        <v>5</v>
      </c>
      <c r="B8" s="63" t="s">
        <v>38</v>
      </c>
      <c r="D8" s="61" t="s">
        <v>231</v>
      </c>
      <c r="E8" s="61"/>
      <c r="F8" s="80" t="s">
        <v>48</v>
      </c>
      <c r="J8" s="61"/>
      <c r="K8" s="63" t="s">
        <v>13</v>
      </c>
      <c r="N8" s="88">
        <f>'ใบงาน Agilent_JOB 7.1'!N8</f>
        <v>2000</v>
      </c>
      <c r="O8" s="61"/>
    </row>
    <row r="9" spans="1:15" s="63" customFormat="1" ht="18" customHeight="1">
      <c r="A9" s="61" t="s">
        <v>4</v>
      </c>
      <c r="B9" s="63" t="s">
        <v>37</v>
      </c>
      <c r="D9" s="63" t="s">
        <v>232</v>
      </c>
      <c r="E9" s="61"/>
      <c r="F9" s="81" t="s">
        <v>50</v>
      </c>
      <c r="J9" s="61"/>
      <c r="K9" s="61" t="s">
        <v>233</v>
      </c>
      <c r="M9" s="61"/>
      <c r="N9" s="61" t="str">
        <f>'ใบงาน Agilent_JOB 7.1'!N9</f>
        <v>PO12345</v>
      </c>
      <c r="O9" s="61"/>
    </row>
    <row r="10" spans="1:15" s="33" customFormat="1" ht="21" customHeight="1">
      <c r="A10" s="11"/>
      <c r="D10" s="11"/>
      <c r="E10" s="11"/>
      <c r="F10" s="11"/>
      <c r="J10" s="11"/>
      <c r="K10" s="11"/>
      <c r="N10" s="11"/>
      <c r="O10" s="11"/>
    </row>
    <row r="11" spans="1:15" s="15" customFormat="1" ht="21" customHeight="1">
      <c r="A11" s="14"/>
      <c r="B11" s="54" t="s">
        <v>0</v>
      </c>
      <c r="C11" s="54" t="s">
        <v>52</v>
      </c>
      <c r="D11" s="55"/>
      <c r="E11" s="14"/>
      <c r="F11" s="14"/>
      <c r="J11" s="14"/>
      <c r="K11" s="8"/>
    </row>
    <row r="12" spans="1:15" s="7" customFormat="1" ht="21" customHeight="1">
      <c r="A12" s="8"/>
      <c r="B12" s="7" t="s">
        <v>99</v>
      </c>
      <c r="C12" t="s">
        <v>2</v>
      </c>
      <c r="D12" s="8"/>
      <c r="E12" s="8"/>
      <c r="F12" s="8"/>
      <c r="J12" s="8"/>
      <c r="K12" s="8"/>
      <c r="L12" s="14"/>
      <c r="M12" s="14"/>
      <c r="N12" s="14"/>
      <c r="O12" s="14"/>
    </row>
    <row r="13" spans="1:15" s="15" customFormat="1" ht="21" customHeight="1">
      <c r="A13" s="16" t="s">
        <v>30</v>
      </c>
      <c r="D13" s="14"/>
      <c r="E13" s="14"/>
      <c r="F13" s="14"/>
      <c r="J13" s="14"/>
      <c r="K13" s="8"/>
      <c r="L13" s="7"/>
      <c r="N13" s="14"/>
      <c r="O13" s="14"/>
    </row>
    <row r="14" spans="1:15" s="15" customFormat="1" ht="21" customHeight="1">
      <c r="A14" s="14"/>
      <c r="D14" s="14"/>
      <c r="E14" s="14"/>
      <c r="F14" s="14"/>
      <c r="J14" s="14"/>
      <c r="K14" s="8"/>
      <c r="L14" s="7"/>
      <c r="N14" s="14"/>
      <c r="O14" s="14"/>
    </row>
    <row r="15" spans="1:15" s="91" customFormat="1" ht="21" customHeight="1">
      <c r="A15" s="109" t="s">
        <v>17</v>
      </c>
      <c r="B15" s="111" t="s">
        <v>16</v>
      </c>
      <c r="C15" s="109" t="s">
        <v>15</v>
      </c>
      <c r="D15" s="109" t="s">
        <v>14</v>
      </c>
      <c r="E15" s="113" t="s">
        <v>33</v>
      </c>
      <c r="F15" s="115" t="s">
        <v>34</v>
      </c>
      <c r="G15" s="104" t="s">
        <v>33</v>
      </c>
      <c r="H15" s="106" t="s">
        <v>32</v>
      </c>
      <c r="J15" s="92"/>
      <c r="K15" s="108"/>
    </row>
    <row r="16" spans="1:15" s="91" customFormat="1" ht="21" customHeight="1">
      <c r="A16" s="109"/>
      <c r="B16" s="112"/>
      <c r="C16" s="109"/>
      <c r="D16" s="109"/>
      <c r="E16" s="114"/>
      <c r="F16" s="116"/>
      <c r="G16" s="105"/>
      <c r="H16" s="107"/>
      <c r="J16" s="92"/>
      <c r="K16" s="108"/>
    </row>
    <row r="17" spans="1:15" s="15" customFormat="1" ht="21" customHeight="1">
      <c r="A17" s="39">
        <v>1</v>
      </c>
      <c r="B17" s="52" t="s">
        <v>6</v>
      </c>
      <c r="C17" s="51" t="s">
        <v>0</v>
      </c>
      <c r="D17" s="50">
        <v>1</v>
      </c>
      <c r="E17" s="20">
        <f>(I44+J44)*N8*D17</f>
        <v>670400</v>
      </c>
      <c r="F17" s="10">
        <v>50</v>
      </c>
      <c r="G17" s="48">
        <f>E17</f>
        <v>670400</v>
      </c>
      <c r="H17" s="48">
        <f>G17*0.00328/F17</f>
        <v>43.97824</v>
      </c>
      <c r="K17" s="99" t="s">
        <v>83</v>
      </c>
      <c r="L17" s="7"/>
    </row>
    <row r="18" spans="1:15" s="15" customFormat="1" ht="21" customHeight="1">
      <c r="A18" s="12">
        <v>2</v>
      </c>
      <c r="B18" s="21" t="s">
        <v>31</v>
      </c>
      <c r="C18" s="21"/>
      <c r="D18" s="12"/>
      <c r="E18" s="12"/>
      <c r="F18" s="12"/>
      <c r="G18" s="21"/>
      <c r="H18" s="21"/>
      <c r="J18" s="14"/>
      <c r="K18" s="99"/>
      <c r="L18" s="7"/>
      <c r="N18" s="14"/>
      <c r="O18" s="14"/>
    </row>
    <row r="19" spans="1:15" s="15" customFormat="1" ht="21" customHeight="1">
      <c r="A19" s="12">
        <v>3</v>
      </c>
      <c r="B19" s="21" t="s">
        <v>40</v>
      </c>
      <c r="C19" s="21"/>
      <c r="D19" s="12" t="s">
        <v>60</v>
      </c>
      <c r="E19" s="12"/>
      <c r="F19" s="12"/>
      <c r="G19" s="21"/>
      <c r="H19" s="21"/>
      <c r="J19" s="14"/>
      <c r="K19" s="6"/>
      <c r="L19" s="7"/>
      <c r="N19" s="14"/>
      <c r="O19" s="14"/>
    </row>
    <row r="20" spans="1:15" s="15" customFormat="1" ht="21" customHeight="1">
      <c r="A20" s="12">
        <v>4</v>
      </c>
      <c r="B20" s="21" t="s">
        <v>63</v>
      </c>
      <c r="C20" s="21"/>
      <c r="D20" s="12" t="s">
        <v>64</v>
      </c>
      <c r="E20" s="12"/>
      <c r="F20" s="12"/>
      <c r="G20" s="21"/>
      <c r="H20" s="21"/>
      <c r="J20" s="14"/>
      <c r="K20" s="6"/>
      <c r="L20" s="7"/>
      <c r="N20" s="14"/>
      <c r="O20" s="14"/>
    </row>
    <row r="21" spans="1:15" s="15" customFormat="1" ht="21" customHeight="1">
      <c r="A21" s="12">
        <v>5</v>
      </c>
      <c r="B21" s="53" t="s">
        <v>61</v>
      </c>
      <c r="C21" s="50" t="s">
        <v>62</v>
      </c>
      <c r="D21" s="12">
        <f>N8</f>
        <v>2000</v>
      </c>
      <c r="E21" s="12"/>
      <c r="F21" s="12"/>
      <c r="G21" s="21"/>
      <c r="H21" s="21"/>
      <c r="J21" s="14"/>
      <c r="K21" s="6"/>
      <c r="L21" s="7"/>
      <c r="N21" s="14"/>
      <c r="O21" s="14"/>
    </row>
    <row r="22" spans="1:15" s="15" customFormat="1" ht="21" customHeight="1">
      <c r="A22" s="12">
        <v>6</v>
      </c>
      <c r="B22" s="21" t="s">
        <v>11</v>
      </c>
      <c r="C22" s="12" t="s">
        <v>12</v>
      </c>
      <c r="D22" s="12">
        <f>N8</f>
        <v>2000</v>
      </c>
      <c r="E22" s="12"/>
      <c r="F22" s="12"/>
      <c r="G22" s="21"/>
      <c r="H22" s="21"/>
      <c r="J22" s="14"/>
      <c r="K22" s="6"/>
      <c r="L22" s="7"/>
      <c r="N22" s="14"/>
      <c r="O22" s="14"/>
    </row>
    <row r="23" spans="1:15" s="15" customFormat="1" ht="21" customHeight="1">
      <c r="A23" s="12">
        <v>7</v>
      </c>
      <c r="B23" s="21" t="s">
        <v>27</v>
      </c>
      <c r="C23" s="12" t="s">
        <v>53</v>
      </c>
      <c r="D23" s="12" t="s">
        <v>76</v>
      </c>
      <c r="E23" s="12"/>
      <c r="F23" s="12"/>
      <c r="G23" s="21"/>
      <c r="H23" s="21"/>
      <c r="J23" s="14"/>
      <c r="K23" s="6"/>
      <c r="L23" s="7"/>
      <c r="N23" s="14"/>
      <c r="O23" s="14"/>
    </row>
    <row r="24" spans="1:15" s="15" customFormat="1" ht="21" customHeight="1">
      <c r="A24" s="12">
        <v>8</v>
      </c>
      <c r="B24" s="21" t="s">
        <v>69</v>
      </c>
      <c r="C24" s="21"/>
      <c r="D24" s="12"/>
      <c r="E24" s="12"/>
      <c r="F24" s="12"/>
      <c r="G24" s="21"/>
      <c r="H24" s="21"/>
      <c r="J24" s="14"/>
      <c r="K24" s="6"/>
      <c r="L24" s="56"/>
      <c r="M24" s="57"/>
    </row>
    <row r="25" spans="1:15" s="15" customFormat="1" ht="21" customHeight="1">
      <c r="A25" s="14"/>
      <c r="D25" s="14"/>
      <c r="E25" s="14"/>
      <c r="F25" s="14"/>
      <c r="J25" s="14"/>
      <c r="K25" s="14"/>
      <c r="N25" s="14"/>
      <c r="O25" s="14"/>
    </row>
    <row r="26" spans="1:15" s="15" customFormat="1" ht="21" customHeight="1">
      <c r="A26" s="3" t="s">
        <v>77</v>
      </c>
      <c r="D26" s="14"/>
      <c r="E26" s="14"/>
      <c r="F26" s="14"/>
      <c r="I26" s="54" t="s">
        <v>75</v>
      </c>
      <c r="J26" s="55"/>
      <c r="K26" s="54"/>
      <c r="L26" s="54"/>
      <c r="M26" s="55"/>
      <c r="N26" s="54"/>
    </row>
    <row r="27" spans="1:15" s="15" customFormat="1" ht="21" customHeight="1">
      <c r="A27" s="14"/>
      <c r="D27" s="14"/>
      <c r="E27" s="14"/>
      <c r="F27" s="14"/>
      <c r="J27" s="14"/>
      <c r="K27" s="14"/>
      <c r="N27" s="14"/>
      <c r="O27" s="14"/>
    </row>
    <row r="28" spans="1:15" s="91" customFormat="1" ht="21" customHeight="1">
      <c r="A28" s="109" t="s">
        <v>17</v>
      </c>
      <c r="B28" s="109" t="s">
        <v>16</v>
      </c>
      <c r="C28" s="109" t="s">
        <v>15</v>
      </c>
      <c r="D28" s="109" t="s">
        <v>14</v>
      </c>
      <c r="E28" s="89"/>
      <c r="F28" s="110" t="s">
        <v>74</v>
      </c>
      <c r="G28" s="104" t="s">
        <v>70</v>
      </c>
      <c r="H28" s="104"/>
      <c r="I28" s="104"/>
      <c r="J28" s="131"/>
      <c r="K28" s="104" t="s">
        <v>57</v>
      </c>
      <c r="L28" s="104"/>
      <c r="M28" s="104"/>
      <c r="N28" s="104" t="s">
        <v>68</v>
      </c>
      <c r="O28" s="94"/>
    </row>
    <row r="29" spans="1:15" s="91" customFormat="1" ht="21" customHeight="1">
      <c r="A29" s="109"/>
      <c r="B29" s="109"/>
      <c r="C29" s="109"/>
      <c r="D29" s="109"/>
      <c r="E29" s="89"/>
      <c r="F29" s="110"/>
      <c r="G29" s="90" t="s">
        <v>71</v>
      </c>
      <c r="H29" s="90" t="s">
        <v>72</v>
      </c>
      <c r="I29" s="90" t="s">
        <v>73</v>
      </c>
      <c r="J29" s="93" t="s">
        <v>68</v>
      </c>
      <c r="K29" s="89" t="s">
        <v>26</v>
      </c>
      <c r="L29" s="90" t="s">
        <v>23</v>
      </c>
      <c r="M29" s="90" t="s">
        <v>24</v>
      </c>
      <c r="N29" s="104"/>
      <c r="O29" s="94"/>
    </row>
    <row r="30" spans="1:15" s="15" customFormat="1" ht="21" customHeight="1">
      <c r="A30" s="101">
        <v>7.2</v>
      </c>
      <c r="B30" s="133" t="s">
        <v>49</v>
      </c>
      <c r="C30" s="145" t="s">
        <v>51</v>
      </c>
      <c r="D30" s="139">
        <v>1</v>
      </c>
      <c r="E30" s="10"/>
      <c r="F30" s="142">
        <f>N8*D30</f>
        <v>2000</v>
      </c>
      <c r="G30" s="58"/>
      <c r="H30" s="58"/>
      <c r="I30" s="58"/>
      <c r="J30" s="59"/>
      <c r="K30" s="132" t="s">
        <v>58</v>
      </c>
      <c r="L30" s="10"/>
      <c r="M30" s="21"/>
      <c r="N30" s="21"/>
      <c r="O30" s="7"/>
    </row>
    <row r="31" spans="1:15" s="15" customFormat="1" ht="21" customHeight="1">
      <c r="A31" s="102"/>
      <c r="B31" s="134"/>
      <c r="C31" s="146"/>
      <c r="D31" s="140"/>
      <c r="E31" s="21"/>
      <c r="F31" s="143"/>
      <c r="G31" s="58"/>
      <c r="H31" s="58"/>
      <c r="I31" s="58"/>
      <c r="J31" s="59"/>
      <c r="K31" s="132"/>
      <c r="L31" s="12"/>
      <c r="M31" s="21"/>
      <c r="N31" s="21"/>
      <c r="O31" s="7"/>
    </row>
    <row r="32" spans="1:15" s="15" customFormat="1" ht="21" customHeight="1">
      <c r="A32" s="102"/>
      <c r="B32" s="134"/>
      <c r="C32" s="146"/>
      <c r="D32" s="140"/>
      <c r="E32" s="12"/>
      <c r="F32" s="143"/>
      <c r="G32" s="58"/>
      <c r="H32" s="58"/>
      <c r="I32" s="58"/>
      <c r="J32" s="59"/>
      <c r="K32" s="132"/>
      <c r="L32" s="21"/>
      <c r="M32" s="21"/>
      <c r="N32" s="21"/>
      <c r="O32" s="7"/>
    </row>
    <row r="33" spans="1:15" s="15" customFormat="1" ht="21" customHeight="1">
      <c r="A33" s="102"/>
      <c r="B33" s="134"/>
      <c r="C33" s="146"/>
      <c r="D33" s="140"/>
      <c r="E33" s="12"/>
      <c r="F33" s="143"/>
      <c r="G33" s="58"/>
      <c r="H33" s="58"/>
      <c r="I33" s="58"/>
      <c r="J33" s="59"/>
      <c r="K33" s="132"/>
      <c r="L33" s="21"/>
      <c r="M33" s="21"/>
      <c r="N33" s="21"/>
      <c r="O33" s="7"/>
    </row>
    <row r="34" spans="1:15" s="15" customFormat="1" ht="21" customHeight="1">
      <c r="A34" s="102"/>
      <c r="B34" s="134"/>
      <c r="C34" s="146"/>
      <c r="D34" s="140"/>
      <c r="E34" s="12"/>
      <c r="F34" s="143"/>
      <c r="G34" s="58"/>
      <c r="H34" s="58"/>
      <c r="I34" s="58"/>
      <c r="J34" s="59"/>
      <c r="K34" s="132"/>
      <c r="L34" s="21"/>
      <c r="M34" s="21"/>
      <c r="N34" s="21"/>
      <c r="O34" s="7"/>
    </row>
    <row r="35" spans="1:15" s="15" customFormat="1" ht="21" customHeight="1">
      <c r="A35" s="102"/>
      <c r="B35" s="134"/>
      <c r="C35" s="146"/>
      <c r="D35" s="140"/>
      <c r="E35" s="12"/>
      <c r="F35" s="143"/>
      <c r="G35" s="58"/>
      <c r="H35" s="58"/>
      <c r="I35" s="58"/>
      <c r="J35" s="59"/>
      <c r="K35" s="132"/>
      <c r="L35" s="21"/>
      <c r="M35" s="21"/>
      <c r="N35" s="21"/>
      <c r="O35" s="7"/>
    </row>
    <row r="36" spans="1:15" s="15" customFormat="1" ht="21" customHeight="1">
      <c r="A36" s="102"/>
      <c r="B36" s="134"/>
      <c r="C36" s="146"/>
      <c r="D36" s="140"/>
      <c r="E36" s="12"/>
      <c r="F36" s="143"/>
      <c r="G36" s="58"/>
      <c r="H36" s="58"/>
      <c r="I36" s="58"/>
      <c r="J36" s="59"/>
      <c r="K36" s="132"/>
      <c r="L36" s="21"/>
      <c r="M36" s="21"/>
      <c r="N36" s="21"/>
      <c r="O36" s="7"/>
    </row>
    <row r="37" spans="1:15" s="15" customFormat="1" ht="21" customHeight="1">
      <c r="A37" s="103"/>
      <c r="B37" s="135"/>
      <c r="C37" s="147"/>
      <c r="D37" s="141"/>
      <c r="E37" s="12"/>
      <c r="F37" s="144"/>
      <c r="G37" s="58"/>
      <c r="H37" s="58"/>
      <c r="I37" s="58"/>
      <c r="J37" s="59"/>
      <c r="K37" s="132"/>
      <c r="L37" s="21"/>
      <c r="M37" s="21"/>
      <c r="N37" s="21"/>
      <c r="O37" s="7"/>
    </row>
    <row r="38" spans="1:15" s="15" customFormat="1" ht="21" customHeight="1">
      <c r="A38" s="14"/>
      <c r="C38" s="14"/>
      <c r="D38" s="14"/>
      <c r="E38" s="14"/>
      <c r="F38" s="26"/>
      <c r="I38" s="14"/>
      <c r="J38" s="14"/>
      <c r="M38" s="14"/>
      <c r="N38" s="14"/>
    </row>
    <row r="39" spans="1:15" s="15" customFormat="1" ht="21" hidden="1" customHeight="1">
      <c r="A39" s="16" t="s">
        <v>28</v>
      </c>
      <c r="D39" s="14"/>
      <c r="E39" s="14"/>
      <c r="F39" s="14"/>
      <c r="J39" s="14"/>
      <c r="K39" s="14"/>
      <c r="N39" s="14"/>
      <c r="O39" s="14"/>
    </row>
    <row r="40" spans="1:15" s="15" customFormat="1" ht="21" hidden="1" customHeight="1">
      <c r="A40" s="14"/>
      <c r="D40" s="14"/>
      <c r="E40" s="14"/>
      <c r="F40" s="14"/>
      <c r="J40" s="14"/>
      <c r="K40" s="14"/>
      <c r="N40" s="14"/>
      <c r="O40" s="14"/>
    </row>
    <row r="41" spans="1:15" s="17" customFormat="1" ht="21" hidden="1" customHeight="1">
      <c r="A41" s="118" t="s">
        <v>17</v>
      </c>
      <c r="B41" s="118" t="s">
        <v>18</v>
      </c>
      <c r="C41" s="118" t="s">
        <v>19</v>
      </c>
      <c r="D41" s="121" t="s">
        <v>19</v>
      </c>
      <c r="E41" s="27"/>
      <c r="F41" s="118" t="s">
        <v>20</v>
      </c>
      <c r="G41" s="118" t="s">
        <v>15</v>
      </c>
      <c r="H41" s="124" t="s">
        <v>29</v>
      </c>
      <c r="I41" s="124" t="s">
        <v>25</v>
      </c>
      <c r="J41" s="124" t="s">
        <v>26</v>
      </c>
      <c r="K41" s="124" t="s">
        <v>35</v>
      </c>
      <c r="L41" s="127" t="s">
        <v>21</v>
      </c>
      <c r="M41" s="128"/>
      <c r="N41" s="117" t="s">
        <v>22</v>
      </c>
      <c r="O41" s="117"/>
    </row>
    <row r="42" spans="1:15" s="17" customFormat="1" ht="21" hidden="1" customHeight="1">
      <c r="A42" s="119"/>
      <c r="B42" s="119"/>
      <c r="C42" s="119"/>
      <c r="D42" s="122"/>
      <c r="F42" s="119"/>
      <c r="G42" s="119"/>
      <c r="H42" s="125"/>
      <c r="I42" s="125"/>
      <c r="J42" s="125"/>
      <c r="K42" s="125"/>
      <c r="L42" s="129"/>
      <c r="M42" s="130"/>
      <c r="N42" s="117"/>
      <c r="O42" s="117"/>
    </row>
    <row r="43" spans="1:15" s="17" customFormat="1" ht="21" hidden="1" customHeight="1">
      <c r="A43" s="120"/>
      <c r="B43" s="120"/>
      <c r="C43" s="120"/>
      <c r="D43" s="123"/>
      <c r="E43" s="29"/>
      <c r="F43" s="120"/>
      <c r="G43" s="120"/>
      <c r="H43" s="126"/>
      <c r="I43" s="126"/>
      <c r="J43" s="126"/>
      <c r="K43" s="126"/>
      <c r="L43" s="28" t="s">
        <v>23</v>
      </c>
      <c r="M43" s="18" t="s">
        <v>24</v>
      </c>
      <c r="N43" s="9" t="s">
        <v>23</v>
      </c>
      <c r="O43" s="13" t="s">
        <v>24</v>
      </c>
    </row>
    <row r="44" spans="1:15" s="33" customFormat="1" ht="21" hidden="1" customHeight="1">
      <c r="A44" s="39"/>
      <c r="B44" s="41" t="s">
        <v>48</v>
      </c>
      <c r="C44" s="23" t="s">
        <v>49</v>
      </c>
      <c r="D44" s="42" t="s">
        <v>50</v>
      </c>
      <c r="E44" s="42" t="s">
        <v>45</v>
      </c>
      <c r="F44" s="10" t="s">
        <v>9</v>
      </c>
      <c r="G44" s="40" t="s">
        <v>0</v>
      </c>
      <c r="H44" s="10" t="s">
        <v>42</v>
      </c>
      <c r="I44" s="42">
        <v>330.2</v>
      </c>
      <c r="J44" s="43" t="s">
        <v>1</v>
      </c>
      <c r="K44" s="10" t="s">
        <v>58</v>
      </c>
      <c r="L44" s="31"/>
      <c r="M44" s="31"/>
      <c r="N44" s="31"/>
      <c r="O44" s="31"/>
    </row>
    <row r="45" spans="1:15" s="33" customFormat="1" ht="21" hidden="1" customHeight="1">
      <c r="A45" s="10">
        <v>2</v>
      </c>
      <c r="B45" s="44" t="s">
        <v>48</v>
      </c>
      <c r="C45" s="31"/>
      <c r="D45" s="44" t="s">
        <v>48</v>
      </c>
      <c r="E45" s="10"/>
      <c r="F45" s="10" t="s">
        <v>41</v>
      </c>
      <c r="G45" s="31"/>
      <c r="H45" s="10" t="s">
        <v>44</v>
      </c>
      <c r="I45" s="31"/>
      <c r="J45" s="10"/>
      <c r="K45" s="10"/>
      <c r="L45" s="31"/>
      <c r="M45" s="31"/>
      <c r="N45" s="10"/>
      <c r="O45" s="10"/>
    </row>
    <row r="46" spans="1:15" s="33" customFormat="1" ht="21" hidden="1" customHeight="1">
      <c r="A46" s="11"/>
      <c r="D46" s="11"/>
      <c r="E46" s="11"/>
      <c r="F46" s="11"/>
      <c r="H46" s="11"/>
      <c r="J46" s="11"/>
      <c r="K46" s="11"/>
      <c r="M46" s="35"/>
      <c r="N46" s="36"/>
      <c r="O46" s="36"/>
    </row>
    <row r="47" spans="1:15" s="15" customFormat="1" ht="21" hidden="1" customHeight="1">
      <c r="A47" s="14"/>
      <c r="D47" s="14"/>
      <c r="E47" s="14"/>
      <c r="F47" s="14"/>
      <c r="I47" s="15" t="s">
        <v>2</v>
      </c>
      <c r="J47" s="14"/>
      <c r="K47" s="15" t="s">
        <v>39</v>
      </c>
      <c r="M47" s="22"/>
      <c r="N47" s="25"/>
      <c r="O47" s="25"/>
    </row>
    <row r="48" spans="1:15" s="15" customFormat="1" ht="21" customHeight="1">
      <c r="A48" s="16"/>
      <c r="D48" s="14"/>
      <c r="E48" s="14"/>
      <c r="F48" s="14"/>
      <c r="I48" s="15" t="s">
        <v>2</v>
      </c>
      <c r="J48" s="14"/>
      <c r="K48" s="14"/>
      <c r="N48" s="14"/>
      <c r="O48" s="14"/>
    </row>
    <row r="49" spans="1:15" s="33" customFormat="1" ht="21" customHeight="1">
      <c r="A49" s="11"/>
      <c r="D49" s="11"/>
      <c r="E49" s="11"/>
      <c r="F49" s="11"/>
      <c r="J49" s="11"/>
      <c r="K49" s="11"/>
      <c r="N49" s="11"/>
      <c r="O49" s="11"/>
    </row>
    <row r="50" spans="1:15" s="33" customFormat="1" ht="21" customHeight="1">
      <c r="A50" s="11"/>
      <c r="B50" s="45"/>
      <c r="D50" s="46"/>
      <c r="H50" s="47"/>
    </row>
    <row r="51" spans="1:15" s="33" customFormat="1" ht="21" customHeight="1">
      <c r="A51" s="11"/>
      <c r="B51" s="45"/>
      <c r="C51" s="46"/>
      <c r="D51" s="46"/>
      <c r="H51" s="47"/>
    </row>
    <row r="52" spans="1:15" s="33" customFormat="1" ht="21" customHeight="1">
      <c r="A52" s="11"/>
      <c r="D52" s="11"/>
      <c r="E52" s="11"/>
      <c r="F52" s="11"/>
      <c r="J52" s="11"/>
      <c r="K52" s="11"/>
      <c r="N52" s="11"/>
      <c r="O52" s="11"/>
    </row>
    <row r="53" spans="1:15" s="33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33" customFormat="1" ht="21" customHeight="1">
      <c r="A54" s="11"/>
      <c r="D54" s="11"/>
      <c r="E54" s="11"/>
      <c r="F54" s="11"/>
      <c r="J54" s="11"/>
      <c r="K54" s="11"/>
      <c r="N54" s="11"/>
      <c r="O54" s="11"/>
    </row>
    <row r="55" spans="1:15" s="33" customFormat="1" ht="21" customHeight="1">
      <c r="A55" s="11"/>
      <c r="D55" s="11"/>
      <c r="E55" s="11"/>
      <c r="F55" s="11"/>
      <c r="J55" s="11"/>
      <c r="K55" s="11"/>
      <c r="N55" s="11"/>
      <c r="O55" s="11"/>
    </row>
    <row r="56" spans="1:15" s="15" customFormat="1" ht="21" customHeight="1">
      <c r="A56" s="14"/>
      <c r="D56" s="14"/>
      <c r="E56" s="14"/>
      <c r="F56" s="14"/>
      <c r="J56" s="14"/>
      <c r="K56" s="14"/>
      <c r="N56" s="14"/>
      <c r="O56" s="14"/>
    </row>
    <row r="57" spans="1:15" s="15" customFormat="1" ht="21" customHeight="1">
      <c r="A57" s="14"/>
      <c r="D57" s="14"/>
      <c r="E57" s="14"/>
      <c r="F57" s="14"/>
      <c r="J57" s="14"/>
      <c r="K57" s="14"/>
      <c r="N57" s="14"/>
      <c r="O57" s="14"/>
    </row>
    <row r="58" spans="1:15" s="15" customFormat="1" ht="21" customHeight="1">
      <c r="A58" s="14"/>
      <c r="D58" s="14"/>
      <c r="E58" s="14"/>
      <c r="F58" s="14"/>
      <c r="J58" s="14"/>
      <c r="K58" s="14"/>
      <c r="N58" s="14"/>
      <c r="O58" s="14"/>
    </row>
    <row r="59" spans="1:15" s="15" customFormat="1" ht="21" customHeight="1">
      <c r="A59" s="14"/>
      <c r="D59" s="14"/>
      <c r="E59" s="14"/>
      <c r="F59" s="14"/>
      <c r="J59" s="14"/>
      <c r="K59" s="14"/>
      <c r="N59" s="14"/>
      <c r="O59" s="14"/>
    </row>
    <row r="60" spans="1:15" s="15" customFormat="1" ht="21" customHeight="1">
      <c r="A60" s="14"/>
      <c r="D60" s="14"/>
      <c r="E60" s="14"/>
      <c r="F60" s="14"/>
      <c r="J60" s="14"/>
      <c r="K60" s="14"/>
      <c r="N60" s="14"/>
      <c r="O60" s="14"/>
    </row>
    <row r="61" spans="1:15" s="15" customFormat="1" ht="21" customHeight="1">
      <c r="A61" s="14"/>
      <c r="D61" s="14"/>
      <c r="E61" s="14"/>
      <c r="F61" s="14"/>
      <c r="J61" s="14"/>
      <c r="K61" s="14"/>
      <c r="N61" s="14"/>
      <c r="O61" s="14"/>
    </row>
    <row r="62" spans="1:15" s="15" customFormat="1" ht="21" customHeight="1">
      <c r="A62" s="14"/>
      <c r="D62" s="14"/>
      <c r="E62" s="14"/>
      <c r="F62" s="14"/>
      <c r="J62" s="14"/>
      <c r="K62" s="14"/>
      <c r="N62" s="14"/>
      <c r="O62" s="14"/>
    </row>
    <row r="63" spans="1:15" s="15" customFormat="1" ht="21" customHeight="1">
      <c r="A63" s="14"/>
      <c r="D63" s="14"/>
      <c r="E63" s="14"/>
      <c r="F63" s="14"/>
      <c r="J63" s="14"/>
      <c r="K63" s="14"/>
      <c r="N63" s="14"/>
      <c r="O63" s="14"/>
    </row>
    <row r="64" spans="1:15" s="15" customFormat="1" ht="21" customHeight="1">
      <c r="A64" s="14"/>
      <c r="D64" s="14"/>
      <c r="E64" s="14"/>
      <c r="F64" s="14"/>
      <c r="J64" s="14"/>
      <c r="K64" s="14"/>
      <c r="N64" s="14"/>
      <c r="O64" s="14"/>
    </row>
    <row r="65" spans="1:15" s="15" customFormat="1" ht="21" customHeight="1">
      <c r="A65" s="14"/>
      <c r="D65" s="14"/>
      <c r="E65" s="14"/>
      <c r="F65" s="14"/>
      <c r="J65" s="14"/>
      <c r="K65" s="14"/>
      <c r="N65" s="14"/>
      <c r="O65" s="14"/>
    </row>
    <row r="66" spans="1:15" s="15" customFormat="1" ht="21" customHeight="1">
      <c r="A66" s="14"/>
      <c r="D66" s="14"/>
      <c r="E66" s="14"/>
      <c r="F66" s="14"/>
      <c r="J66" s="14"/>
      <c r="K66" s="14"/>
      <c r="N66" s="14"/>
      <c r="O66" s="14"/>
    </row>
    <row r="67" spans="1:15" s="15" customFormat="1" ht="21" customHeight="1">
      <c r="A67" s="14"/>
      <c r="D67" s="14"/>
      <c r="E67" s="14"/>
      <c r="F67" s="14"/>
      <c r="J67" s="14"/>
      <c r="K67" s="14"/>
      <c r="N67" s="14"/>
      <c r="O67" s="14"/>
    </row>
  </sheetData>
  <mergeCells count="37">
    <mergeCell ref="B30:B37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D28:D29"/>
    <mergeCell ref="F28:F29"/>
    <mergeCell ref="A15:A16"/>
    <mergeCell ref="B15:B16"/>
    <mergeCell ref="C15:C16"/>
    <mergeCell ref="D15:D16"/>
    <mergeCell ref="E15:E16"/>
    <mergeCell ref="F15:F16"/>
    <mergeCell ref="A1:N5"/>
    <mergeCell ref="K17:K18"/>
    <mergeCell ref="N28:N29"/>
    <mergeCell ref="K30:K37"/>
    <mergeCell ref="C30:C37"/>
    <mergeCell ref="D30:D37"/>
    <mergeCell ref="F30:F37"/>
    <mergeCell ref="G28:J28"/>
    <mergeCell ref="K28:M28"/>
    <mergeCell ref="A30:A37"/>
    <mergeCell ref="G15:G16"/>
    <mergeCell ref="H15:H16"/>
    <mergeCell ref="K15:K16"/>
    <mergeCell ref="A28:A29"/>
    <mergeCell ref="B28:B29"/>
    <mergeCell ref="C28:C29"/>
  </mergeCells>
  <pageMargins left="0.11811023622047245" right="0" top="0.15748031496062992" bottom="0" header="0.31496062992125984" footer="0.31496062992125984"/>
  <pageSetup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C6252-8E67-46A6-BD75-369D1A7276BB}">
  <dimension ref="A1:Z83"/>
  <sheetViews>
    <sheetView workbookViewId="0">
      <selection activeCell="A7" sqref="A7:XFD7"/>
    </sheetView>
  </sheetViews>
  <sheetFormatPr defaultRowHeight="14.4"/>
  <cols>
    <col min="1" max="1" width="15.6640625" style="75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212" t="s">
        <v>78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60"/>
      <c r="X1" s="60"/>
      <c r="Y1" s="60"/>
      <c r="Z1" s="60"/>
    </row>
    <row r="2" spans="1:26" ht="15" customHeight="1">
      <c r="A2" s="212"/>
      <c r="B2" s="212"/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2"/>
      <c r="V2" s="212"/>
      <c r="W2" s="60"/>
      <c r="X2" s="60"/>
      <c r="Y2" s="60"/>
      <c r="Z2" s="60"/>
    </row>
    <row r="3" spans="1:26" ht="15" customHeight="1">
      <c r="A3" s="212"/>
      <c r="B3" s="212"/>
      <c r="C3" s="212"/>
      <c r="D3" s="212"/>
      <c r="E3" s="212"/>
      <c r="F3" s="212"/>
      <c r="G3" s="212"/>
      <c r="H3" s="212"/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60"/>
      <c r="X3" s="60"/>
      <c r="Y3" s="60"/>
      <c r="Z3" s="60"/>
    </row>
    <row r="4" spans="1:26" ht="15" customHeight="1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60"/>
      <c r="X4" s="60"/>
      <c r="Y4" s="60"/>
      <c r="Z4" s="60"/>
    </row>
    <row r="5" spans="1:26" ht="15" customHeight="1">
      <c r="A5" s="212"/>
      <c r="B5" s="212"/>
      <c r="C5" s="212"/>
      <c r="D5" s="212"/>
      <c r="E5" s="212"/>
      <c r="F5" s="212"/>
      <c r="G5" s="212"/>
      <c r="H5" s="212"/>
      <c r="I5" s="212"/>
      <c r="J5" s="212"/>
      <c r="K5" s="212"/>
      <c r="L5" s="212"/>
      <c r="M5" s="212"/>
      <c r="N5" s="212"/>
      <c r="O5" s="212"/>
      <c r="P5" s="212"/>
      <c r="Q5" s="212"/>
      <c r="R5" s="212"/>
      <c r="S5" s="212"/>
      <c r="T5" s="212"/>
      <c r="U5" s="212"/>
      <c r="V5" s="212"/>
      <c r="W5" s="60"/>
      <c r="X5" s="60"/>
      <c r="Y5" s="60"/>
      <c r="Z5" s="60"/>
    </row>
    <row r="6" spans="1:26" ht="30">
      <c r="A6" s="213" t="s">
        <v>97</v>
      </c>
      <c r="B6" s="213"/>
      <c r="C6" s="213"/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</row>
    <row r="7" spans="1:26" s="63" customFormat="1" ht="26.25" customHeight="1">
      <c r="A7" s="214" t="s">
        <v>97</v>
      </c>
      <c r="B7" s="214"/>
      <c r="C7" s="82" t="s">
        <v>80</v>
      </c>
      <c r="E7" s="11"/>
      <c r="F7" s="11"/>
      <c r="G7" s="205" t="str">
        <f>'ใบงาน Agilent_JOB 7.1'!F7</f>
        <v>xxx</v>
      </c>
      <c r="H7" s="205"/>
      <c r="I7" s="205"/>
      <c r="J7" s="205"/>
      <c r="K7" s="205"/>
      <c r="L7" s="11"/>
      <c r="M7" s="11"/>
      <c r="N7" s="11"/>
      <c r="O7" s="11"/>
      <c r="P7" s="11"/>
      <c r="Q7" s="11"/>
      <c r="R7" s="11"/>
      <c r="S7" s="96" t="s">
        <v>67</v>
      </c>
      <c r="W7" s="86" t="str">
        <f>'ใบงาน Agilent_JOB 7.1'!M7</f>
        <v>xxx</v>
      </c>
      <c r="X7" s="86"/>
      <c r="Y7" s="86"/>
      <c r="Z7" s="86"/>
    </row>
    <row r="8" spans="1:26" s="7" customFormat="1" ht="21" customHeight="1">
      <c r="A8" s="8" t="s">
        <v>81</v>
      </c>
      <c r="B8" s="62" t="str">
        <f>'ใบงาน Agilent_JOB 7.1'!F8</f>
        <v>K9801-60114</v>
      </c>
      <c r="C8" s="56" t="s">
        <v>82</v>
      </c>
      <c r="D8" s="56"/>
      <c r="E8" s="56"/>
      <c r="F8" s="56"/>
      <c r="G8" s="215" t="str">
        <f>'ใบงาน Agilent_JOB 7.1'!F9</f>
        <v>K9801-60087</v>
      </c>
      <c r="H8" s="215"/>
      <c r="I8" s="215"/>
      <c r="J8" s="215"/>
      <c r="K8" s="56"/>
      <c r="L8" s="56"/>
      <c r="M8" s="56"/>
      <c r="N8" s="56"/>
      <c r="O8" s="56"/>
      <c r="P8" s="56"/>
      <c r="Q8" s="56"/>
      <c r="R8" s="56"/>
      <c r="S8" s="56"/>
      <c r="T8" s="56"/>
    </row>
    <row r="9" spans="1:26" s="7" customFormat="1" ht="21" customHeight="1">
      <c r="A9" s="216" t="s">
        <v>2</v>
      </c>
      <c r="B9" s="216"/>
      <c r="G9" s="215" t="str">
        <f>'ใบงาน Agilent_JOB 7.2'!F9</f>
        <v>K9801-60116</v>
      </c>
      <c r="H9" s="215"/>
      <c r="I9" s="215"/>
      <c r="J9" s="215"/>
      <c r="L9" s="14"/>
      <c r="M9" s="14"/>
      <c r="N9" s="14"/>
      <c r="O9" s="14"/>
      <c r="P9" s="14"/>
      <c r="Q9" s="14"/>
      <c r="R9" s="14"/>
      <c r="S9" s="99" t="s">
        <v>83</v>
      </c>
      <c r="T9" s="99"/>
      <c r="U9" s="99"/>
      <c r="V9" s="99"/>
    </row>
    <row r="10" spans="1:26" s="7" customFormat="1" ht="21" customHeight="1">
      <c r="A10" s="8" t="s">
        <v>98</v>
      </c>
      <c r="B10" s="95">
        <f>'ใบงาน Agilent_JOB 7.1'!N8</f>
        <v>2000</v>
      </c>
      <c r="C10" s="14"/>
      <c r="D10" s="100" t="s">
        <v>2</v>
      </c>
      <c r="E10" s="100"/>
      <c r="F10" s="100"/>
      <c r="G10" s="205" t="s">
        <v>2</v>
      </c>
      <c r="H10" s="205"/>
      <c r="I10" s="205"/>
      <c r="J10" s="205"/>
      <c r="K10" s="57"/>
      <c r="L10" s="14"/>
      <c r="M10" s="14"/>
      <c r="N10" s="14"/>
      <c r="O10" s="14"/>
      <c r="P10" s="14"/>
      <c r="Q10" s="14"/>
      <c r="R10" s="14"/>
      <c r="S10" s="99"/>
      <c r="T10" s="99"/>
      <c r="U10" s="99"/>
      <c r="V10" s="99"/>
    </row>
    <row r="11" spans="1:26" s="7" customFormat="1" ht="13.8">
      <c r="A11" s="14"/>
      <c r="B11" s="15"/>
      <c r="C11" s="14"/>
      <c r="D11" s="14"/>
      <c r="E11" s="14"/>
      <c r="F11" s="14"/>
      <c r="G11" s="205" t="s">
        <v>2</v>
      </c>
      <c r="H11" s="205"/>
      <c r="I11" s="205"/>
      <c r="J11" s="205"/>
      <c r="K11" s="14"/>
      <c r="L11" s="14"/>
      <c r="M11" s="14"/>
      <c r="N11" s="14"/>
      <c r="O11" s="14"/>
      <c r="P11" s="14"/>
      <c r="Q11" s="14"/>
      <c r="R11" s="14"/>
      <c r="S11" s="14"/>
      <c r="T11" s="14"/>
    </row>
    <row r="12" spans="1:26" s="7" customFormat="1" ht="13.8">
      <c r="A12" s="14" t="s">
        <v>99</v>
      </c>
      <c r="B12" s="15"/>
      <c r="C12" s="14"/>
      <c r="D12" s="14"/>
      <c r="E12" s="14"/>
      <c r="F12" s="14"/>
      <c r="G12" s="205" t="s">
        <v>2</v>
      </c>
      <c r="H12" s="205"/>
      <c r="I12" s="205"/>
      <c r="J12" s="205"/>
      <c r="K12" s="14"/>
      <c r="L12" s="14"/>
      <c r="M12" s="14"/>
      <c r="N12" s="14"/>
      <c r="O12" s="14"/>
      <c r="P12" s="14"/>
      <c r="Q12" s="14"/>
      <c r="R12" s="14"/>
      <c r="S12" s="14"/>
      <c r="T12" s="14"/>
    </row>
    <row r="13" spans="1:26" s="7" customFormat="1" ht="13.8">
      <c r="A13" s="14"/>
      <c r="B13" s="15"/>
      <c r="C13" s="14"/>
      <c r="D13" s="14"/>
      <c r="E13" s="14"/>
      <c r="F13" s="14"/>
      <c r="G13" s="57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</row>
    <row r="14" spans="1:26" s="7" customFormat="1" ht="13.8">
      <c r="A14" s="206" t="s">
        <v>17</v>
      </c>
      <c r="B14" s="206" t="s">
        <v>86</v>
      </c>
      <c r="C14" s="198" t="s">
        <v>87</v>
      </c>
      <c r="D14" s="207"/>
      <c r="E14" s="207"/>
      <c r="F14" s="207"/>
      <c r="G14" s="207"/>
      <c r="H14" s="208"/>
      <c r="I14" s="198" t="s">
        <v>23</v>
      </c>
      <c r="J14" s="207"/>
      <c r="K14" s="207"/>
      <c r="L14" s="207"/>
      <c r="M14" s="207"/>
      <c r="N14" s="208"/>
      <c r="O14" s="198" t="s">
        <v>24</v>
      </c>
      <c r="P14" s="199"/>
      <c r="Q14" s="199"/>
      <c r="R14" s="199"/>
      <c r="S14" s="199"/>
      <c r="T14" s="200"/>
      <c r="U14" s="204" t="s">
        <v>88</v>
      </c>
      <c r="V14" s="204"/>
      <c r="W14" s="204"/>
      <c r="X14" s="204"/>
      <c r="Y14" s="204"/>
      <c r="Z14" s="204"/>
    </row>
    <row r="15" spans="1:26" s="7" customFormat="1" ht="13.8">
      <c r="A15" s="118"/>
      <c r="B15" s="206"/>
      <c r="C15" s="209"/>
      <c r="D15" s="210"/>
      <c r="E15" s="210"/>
      <c r="F15" s="210"/>
      <c r="G15" s="210"/>
      <c r="H15" s="211"/>
      <c r="I15" s="209"/>
      <c r="J15" s="210"/>
      <c r="K15" s="210"/>
      <c r="L15" s="210"/>
      <c r="M15" s="210"/>
      <c r="N15" s="211"/>
      <c r="O15" s="201"/>
      <c r="P15" s="202"/>
      <c r="Q15" s="202"/>
      <c r="R15" s="202"/>
      <c r="S15" s="202"/>
      <c r="T15" s="203"/>
      <c r="U15" s="204"/>
      <c r="V15" s="204"/>
      <c r="W15" s="204"/>
      <c r="X15" s="204"/>
      <c r="Y15" s="204"/>
      <c r="Z15" s="204"/>
    </row>
    <row r="16" spans="1:26" s="65" customFormat="1" ht="35.700000000000003" customHeight="1">
      <c r="A16" s="66">
        <v>1</v>
      </c>
      <c r="B16" s="67" t="s">
        <v>100</v>
      </c>
      <c r="C16" s="193"/>
      <c r="D16" s="193"/>
      <c r="E16" s="193"/>
      <c r="F16" s="193"/>
      <c r="G16" s="193"/>
      <c r="H16" s="193"/>
      <c r="I16" s="193" t="s">
        <v>2</v>
      </c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</row>
    <row r="17" spans="1:26" s="65" customFormat="1" ht="22.5" customHeight="1">
      <c r="A17" s="195">
        <v>2</v>
      </c>
      <c r="B17" s="64" t="s">
        <v>89</v>
      </c>
      <c r="C17" s="193"/>
      <c r="D17" s="193"/>
      <c r="E17" s="193"/>
      <c r="F17" s="193"/>
      <c r="G17" s="193"/>
      <c r="H17" s="193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</row>
    <row r="18" spans="1:26" s="65" customFormat="1" ht="22.5" customHeight="1">
      <c r="A18" s="196"/>
      <c r="B18" s="64" t="s">
        <v>90</v>
      </c>
      <c r="C18" s="193"/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</row>
    <row r="19" spans="1:26" s="65" customFormat="1" ht="22.5" customHeight="1">
      <c r="A19" s="196"/>
      <c r="B19" s="64" t="s">
        <v>91</v>
      </c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</row>
    <row r="20" spans="1:26" s="65" customFormat="1" ht="22.5" customHeight="1">
      <c r="A20" s="196"/>
      <c r="B20" s="64" t="s">
        <v>92</v>
      </c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</row>
    <row r="21" spans="1:26" s="65" customFormat="1" ht="22.5" customHeight="1">
      <c r="A21" s="197"/>
      <c r="B21" s="64" t="s">
        <v>93</v>
      </c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</row>
    <row r="22" spans="1:26" s="65" customFormat="1" ht="22.5" customHeight="1">
      <c r="A22" s="66">
        <v>3</v>
      </c>
      <c r="B22" s="67" t="s">
        <v>94</v>
      </c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</row>
    <row r="23" spans="1:26" s="65" customFormat="1" ht="22.5" customHeight="1">
      <c r="A23" s="66">
        <v>4</v>
      </c>
      <c r="B23" s="67" t="s">
        <v>101</v>
      </c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</row>
    <row r="24" spans="1:26" s="65" customFormat="1" ht="22.5" customHeight="1">
      <c r="A24" s="66">
        <v>5</v>
      </c>
      <c r="B24" s="67" t="s">
        <v>102</v>
      </c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</row>
    <row r="25" spans="1:26" s="65" customFormat="1" ht="20.7" customHeight="1">
      <c r="A25" s="66">
        <v>6</v>
      </c>
      <c r="B25" s="67" t="s">
        <v>103</v>
      </c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</row>
    <row r="26" spans="1:26" s="7" customFormat="1" ht="13.8">
      <c r="A26" s="8"/>
      <c r="C26" s="175"/>
      <c r="D26" s="175"/>
      <c r="E26" s="175"/>
      <c r="F26" s="175"/>
    </row>
    <row r="27" spans="1:26" s="7" customFormat="1" ht="15.6">
      <c r="A27" s="194" t="s">
        <v>104</v>
      </c>
      <c r="B27" s="194"/>
      <c r="C27" s="194"/>
      <c r="D27" s="194"/>
      <c r="E27" s="194"/>
      <c r="F27" s="194"/>
      <c r="G27" s="194"/>
      <c r="H27" s="194"/>
      <c r="I27" s="194"/>
      <c r="J27" s="194"/>
    </row>
    <row r="28" spans="1:26" s="69" customFormat="1" ht="15">
      <c r="A28" s="182" t="s">
        <v>105</v>
      </c>
      <c r="B28" s="183"/>
      <c r="C28" s="189" t="s">
        <v>106</v>
      </c>
      <c r="D28" s="189"/>
      <c r="E28" s="189"/>
      <c r="F28" s="189"/>
      <c r="G28" s="190" t="s">
        <v>107</v>
      </c>
      <c r="H28" s="191"/>
      <c r="I28" s="191"/>
      <c r="J28" s="192"/>
      <c r="L28" s="187" t="s">
        <v>2</v>
      </c>
      <c r="M28" s="187"/>
    </row>
    <row r="29" spans="1:26" s="69" customFormat="1" ht="15">
      <c r="A29" s="182" t="s">
        <v>108</v>
      </c>
      <c r="B29" s="183"/>
      <c r="C29" s="188">
        <v>10</v>
      </c>
      <c r="D29" s="188"/>
      <c r="E29" s="188"/>
      <c r="F29" s="188"/>
      <c r="G29" s="188">
        <v>10</v>
      </c>
      <c r="H29" s="188"/>
      <c r="I29" s="188"/>
      <c r="J29" s="188"/>
      <c r="L29" s="187"/>
      <c r="M29" s="187"/>
    </row>
    <row r="30" spans="1:26" s="69" customFormat="1" ht="15">
      <c r="A30" s="182" t="s">
        <v>109</v>
      </c>
      <c r="B30" s="183"/>
      <c r="C30" s="188">
        <v>20</v>
      </c>
      <c r="D30" s="188"/>
      <c r="E30" s="188"/>
      <c r="F30" s="188"/>
      <c r="G30" s="188">
        <v>20</v>
      </c>
      <c r="H30" s="188"/>
      <c r="I30" s="188"/>
      <c r="J30" s="188"/>
      <c r="L30" s="187"/>
      <c r="M30" s="187"/>
    </row>
    <row r="31" spans="1:26" s="69" customFormat="1" ht="15">
      <c r="A31" s="182" t="s">
        <v>110</v>
      </c>
      <c r="B31" s="183"/>
      <c r="C31" s="188">
        <v>30</v>
      </c>
      <c r="D31" s="188"/>
      <c r="E31" s="188"/>
      <c r="F31" s="188"/>
      <c r="G31" s="188">
        <v>30</v>
      </c>
      <c r="H31" s="188"/>
      <c r="I31" s="188"/>
      <c r="J31" s="188"/>
      <c r="L31" s="187"/>
      <c r="M31" s="187"/>
    </row>
    <row r="32" spans="1:26" s="69" customFormat="1" ht="15">
      <c r="A32" s="182" t="s">
        <v>111</v>
      </c>
      <c r="B32" s="183"/>
      <c r="C32" s="184">
        <v>40</v>
      </c>
      <c r="D32" s="185"/>
      <c r="E32" s="185"/>
      <c r="F32" s="186"/>
      <c r="G32" s="184">
        <v>40</v>
      </c>
      <c r="H32" s="185"/>
      <c r="I32" s="185"/>
      <c r="J32" s="186"/>
      <c r="L32" s="187"/>
      <c r="M32" s="187"/>
    </row>
    <row r="33" spans="1:26" s="69" customFormat="1" ht="15">
      <c r="A33" s="182" t="s">
        <v>112</v>
      </c>
      <c r="B33" s="183"/>
      <c r="C33" s="188">
        <v>50</v>
      </c>
      <c r="D33" s="188"/>
      <c r="E33" s="188"/>
      <c r="F33" s="188"/>
      <c r="G33" s="188">
        <v>50</v>
      </c>
      <c r="H33" s="188"/>
      <c r="I33" s="188"/>
      <c r="J33" s="188"/>
      <c r="L33" s="187"/>
      <c r="M33" s="187"/>
    </row>
    <row r="34" spans="1:26" s="69" customFormat="1" ht="15">
      <c r="A34" s="182" t="s">
        <v>113</v>
      </c>
      <c r="B34" s="183"/>
      <c r="C34" s="188">
        <v>100</v>
      </c>
      <c r="D34" s="188"/>
      <c r="E34" s="188"/>
      <c r="F34" s="188"/>
      <c r="G34" s="188">
        <v>100</v>
      </c>
      <c r="H34" s="188"/>
      <c r="I34" s="188"/>
      <c r="J34" s="188"/>
      <c r="L34" s="187"/>
      <c r="M34" s="187"/>
    </row>
    <row r="35" spans="1:26" s="69" customFormat="1" ht="15">
      <c r="A35" s="182" t="s">
        <v>114</v>
      </c>
      <c r="B35" s="183"/>
      <c r="C35" s="188">
        <v>200</v>
      </c>
      <c r="D35" s="188"/>
      <c r="E35" s="188"/>
      <c r="F35" s="188"/>
      <c r="G35" s="188">
        <v>200</v>
      </c>
      <c r="H35" s="188"/>
      <c r="I35" s="188"/>
      <c r="J35" s="188"/>
      <c r="L35" s="187"/>
      <c r="M35" s="187"/>
    </row>
    <row r="36" spans="1:26" s="69" customFormat="1" ht="15">
      <c r="A36" s="182" t="s">
        <v>115</v>
      </c>
      <c r="B36" s="183"/>
      <c r="C36" s="184" t="s">
        <v>116</v>
      </c>
      <c r="D36" s="185"/>
      <c r="E36" s="185"/>
      <c r="F36" s="185"/>
      <c r="G36" s="185"/>
      <c r="H36" s="185"/>
      <c r="I36" s="185"/>
      <c r="J36" s="186"/>
      <c r="L36" s="187"/>
      <c r="M36" s="187"/>
    </row>
    <row r="37" spans="1:26" s="69" customFormat="1" ht="15">
      <c r="A37" s="68"/>
      <c r="L37" s="187"/>
      <c r="M37" s="187"/>
    </row>
    <row r="38" spans="1:26" s="69" customFormat="1" ht="15">
      <c r="A38" s="68"/>
      <c r="L38" s="187"/>
      <c r="M38" s="187"/>
    </row>
    <row r="39" spans="1:26" s="7" customFormat="1" ht="13.8">
      <c r="A39" s="8"/>
      <c r="L39" s="175"/>
      <c r="M39" s="175"/>
    </row>
    <row r="40" spans="1:26" s="7" customFormat="1" ht="13.8">
      <c r="A40" s="8"/>
      <c r="L40" s="175"/>
      <c r="M40" s="175"/>
    </row>
    <row r="41" spans="1:26" s="7" customFormat="1" ht="13.8">
      <c r="A41" s="8"/>
      <c r="L41" s="175"/>
      <c r="M41" s="175"/>
    </row>
    <row r="42" spans="1:26" s="69" customFormat="1" ht="19.2" customHeight="1">
      <c r="A42" s="70" t="s">
        <v>117</v>
      </c>
      <c r="B42" s="71" t="s">
        <v>118</v>
      </c>
      <c r="C42" s="176" t="s">
        <v>119</v>
      </c>
      <c r="D42" s="177"/>
      <c r="E42" s="177"/>
      <c r="F42" s="177"/>
      <c r="G42" s="177"/>
      <c r="H42" s="177"/>
      <c r="I42" s="177"/>
      <c r="J42" s="177"/>
      <c r="K42" s="177"/>
      <c r="L42" s="177"/>
      <c r="M42" s="177"/>
      <c r="N42" s="178"/>
      <c r="O42" s="179" t="s">
        <v>120</v>
      </c>
      <c r="P42" s="180"/>
      <c r="Q42" s="180"/>
      <c r="R42" s="180"/>
      <c r="S42" s="181"/>
      <c r="T42" s="179" t="s">
        <v>121</v>
      </c>
      <c r="U42" s="180"/>
      <c r="V42" s="180"/>
      <c r="W42" s="181"/>
      <c r="X42" s="180" t="s">
        <v>122</v>
      </c>
      <c r="Y42" s="180"/>
      <c r="Z42" s="181"/>
    </row>
    <row r="43" spans="1:26" s="7" customFormat="1" ht="16.5" customHeight="1">
      <c r="A43" s="172" t="s">
        <v>123</v>
      </c>
      <c r="B43" s="70" t="s">
        <v>124</v>
      </c>
      <c r="C43" s="161" t="s">
        <v>125</v>
      </c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3"/>
      <c r="O43" s="154" t="s">
        <v>126</v>
      </c>
      <c r="P43" s="149"/>
      <c r="Q43" s="149"/>
      <c r="R43" s="149"/>
      <c r="S43" s="150"/>
      <c r="T43" s="154" t="s">
        <v>127</v>
      </c>
      <c r="U43" s="149"/>
      <c r="V43" s="149"/>
      <c r="W43" s="150"/>
      <c r="X43" s="154">
        <v>1</v>
      </c>
      <c r="Y43" s="149"/>
      <c r="Z43" s="150"/>
    </row>
    <row r="44" spans="1:26" s="7" customFormat="1" ht="16.5" customHeight="1">
      <c r="A44" s="173"/>
      <c r="B44" s="70" t="s">
        <v>128</v>
      </c>
      <c r="C44" s="161" t="s">
        <v>129</v>
      </c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3"/>
      <c r="O44" s="154" t="s">
        <v>126</v>
      </c>
      <c r="P44" s="149"/>
      <c r="Q44" s="149"/>
      <c r="R44" s="149"/>
      <c r="S44" s="150"/>
      <c r="T44" s="154" t="s">
        <v>130</v>
      </c>
      <c r="U44" s="149"/>
      <c r="V44" s="149"/>
      <c r="W44" s="150"/>
      <c r="X44" s="154">
        <v>1</v>
      </c>
      <c r="Y44" s="149"/>
      <c r="Z44" s="150"/>
    </row>
    <row r="45" spans="1:26" s="7" customFormat="1" ht="16.5" customHeight="1">
      <c r="A45" s="173"/>
      <c r="B45" s="70" t="s">
        <v>131</v>
      </c>
      <c r="C45" s="161" t="s">
        <v>132</v>
      </c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3"/>
      <c r="O45" s="154" t="s">
        <v>133</v>
      </c>
      <c r="P45" s="149"/>
      <c r="Q45" s="149"/>
      <c r="R45" s="149"/>
      <c r="S45" s="150"/>
      <c r="T45" s="154" t="s">
        <v>134</v>
      </c>
      <c r="U45" s="149"/>
      <c r="V45" s="149"/>
      <c r="W45" s="150"/>
      <c r="X45" s="154">
        <v>6</v>
      </c>
      <c r="Y45" s="149"/>
      <c r="Z45" s="150"/>
    </row>
    <row r="46" spans="1:26" s="7" customFormat="1" ht="16.5" customHeight="1">
      <c r="A46" s="173"/>
      <c r="B46" s="70" t="s">
        <v>135</v>
      </c>
      <c r="C46" s="161" t="s">
        <v>136</v>
      </c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3"/>
      <c r="O46" s="154" t="s">
        <v>137</v>
      </c>
      <c r="P46" s="149"/>
      <c r="Q46" s="149"/>
      <c r="R46" s="149"/>
      <c r="S46" s="150"/>
      <c r="T46" s="154" t="s">
        <v>138</v>
      </c>
      <c r="U46" s="149"/>
      <c r="V46" s="149"/>
      <c r="W46" s="150"/>
      <c r="X46" s="154">
        <v>6</v>
      </c>
      <c r="Y46" s="149"/>
      <c r="Z46" s="150"/>
    </row>
    <row r="47" spans="1:26" s="7" customFormat="1" ht="16.5" customHeight="1">
      <c r="A47" s="174"/>
      <c r="B47" s="70" t="s">
        <v>139</v>
      </c>
      <c r="C47" s="161" t="s">
        <v>140</v>
      </c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3"/>
      <c r="O47" s="154" t="s">
        <v>137</v>
      </c>
      <c r="P47" s="149"/>
      <c r="Q47" s="149"/>
      <c r="R47" s="149"/>
      <c r="S47" s="150"/>
      <c r="T47" s="154" t="s">
        <v>141</v>
      </c>
      <c r="U47" s="149"/>
      <c r="V47" s="149"/>
      <c r="W47" s="150"/>
      <c r="X47" s="154">
        <v>6</v>
      </c>
      <c r="Y47" s="149"/>
      <c r="Z47" s="150"/>
    </row>
    <row r="48" spans="1:26" s="7" customFormat="1" ht="16.5" customHeight="1">
      <c r="A48" s="166" t="s">
        <v>142</v>
      </c>
      <c r="B48" s="70" t="s">
        <v>143</v>
      </c>
      <c r="C48" s="161" t="s">
        <v>144</v>
      </c>
      <c r="D48" s="162"/>
      <c r="E48" s="162"/>
      <c r="F48" s="162"/>
      <c r="G48" s="162"/>
      <c r="H48" s="162"/>
      <c r="I48" s="162"/>
      <c r="J48" s="162"/>
      <c r="K48" s="162"/>
      <c r="L48" s="162"/>
      <c r="M48" s="162"/>
      <c r="N48" s="163"/>
      <c r="O48" s="154" t="s">
        <v>145</v>
      </c>
      <c r="P48" s="149"/>
      <c r="Q48" s="149"/>
      <c r="R48" s="149"/>
      <c r="S48" s="150"/>
      <c r="T48" s="154" t="s">
        <v>146</v>
      </c>
      <c r="U48" s="149"/>
      <c r="V48" s="149"/>
      <c r="W48" s="150"/>
      <c r="X48" s="154">
        <v>2</v>
      </c>
      <c r="Y48" s="149"/>
      <c r="Z48" s="150"/>
    </row>
    <row r="49" spans="1:26" s="7" customFormat="1" ht="16.5" customHeight="1">
      <c r="A49" s="168"/>
      <c r="B49" s="70" t="s">
        <v>147</v>
      </c>
      <c r="C49" s="161" t="s">
        <v>148</v>
      </c>
      <c r="D49" s="162"/>
      <c r="E49" s="162"/>
      <c r="F49" s="162"/>
      <c r="G49" s="162"/>
      <c r="H49" s="162"/>
      <c r="I49" s="162"/>
      <c r="J49" s="162"/>
      <c r="K49" s="162"/>
      <c r="L49" s="162"/>
      <c r="M49" s="162"/>
      <c r="N49" s="163"/>
      <c r="O49" s="154" t="s">
        <v>149</v>
      </c>
      <c r="P49" s="149"/>
      <c r="Q49" s="149"/>
      <c r="R49" s="149"/>
      <c r="S49" s="150"/>
      <c r="T49" s="154" t="s">
        <v>150</v>
      </c>
      <c r="U49" s="149"/>
      <c r="V49" s="149"/>
      <c r="W49" s="150"/>
      <c r="X49" s="154">
        <v>1</v>
      </c>
      <c r="Y49" s="149"/>
      <c r="Z49" s="150"/>
    </row>
    <row r="50" spans="1:26" s="7" customFormat="1" ht="16.5" customHeight="1">
      <c r="A50" s="166" t="s">
        <v>151</v>
      </c>
      <c r="B50" s="70" t="s">
        <v>152</v>
      </c>
      <c r="C50" s="161" t="s">
        <v>153</v>
      </c>
      <c r="D50" s="162"/>
      <c r="E50" s="162"/>
      <c r="F50" s="162"/>
      <c r="G50" s="162"/>
      <c r="H50" s="162"/>
      <c r="I50" s="162"/>
      <c r="J50" s="162"/>
      <c r="K50" s="162"/>
      <c r="L50" s="162"/>
      <c r="M50" s="162"/>
      <c r="N50" s="163"/>
      <c r="O50" s="154" t="s">
        <v>0</v>
      </c>
      <c r="P50" s="149"/>
      <c r="Q50" s="149"/>
      <c r="R50" s="149"/>
      <c r="S50" s="150"/>
      <c r="T50" s="154" t="s">
        <v>154</v>
      </c>
      <c r="U50" s="149"/>
      <c r="V50" s="149"/>
      <c r="W50" s="150"/>
      <c r="X50" s="154">
        <v>1</v>
      </c>
      <c r="Y50" s="149"/>
      <c r="Z50" s="150"/>
    </row>
    <row r="51" spans="1:26" s="7" customFormat="1" ht="16.5" customHeight="1">
      <c r="A51" s="167"/>
      <c r="B51" s="70" t="s">
        <v>155</v>
      </c>
      <c r="C51" s="161" t="s">
        <v>156</v>
      </c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3"/>
      <c r="O51" s="154" t="s">
        <v>0</v>
      </c>
      <c r="P51" s="149"/>
      <c r="Q51" s="149"/>
      <c r="R51" s="149"/>
      <c r="S51" s="150"/>
      <c r="T51" s="154" t="s">
        <v>157</v>
      </c>
      <c r="U51" s="149"/>
      <c r="V51" s="149"/>
      <c r="W51" s="150"/>
      <c r="X51" s="154">
        <v>4</v>
      </c>
      <c r="Y51" s="149"/>
      <c r="Z51" s="150"/>
    </row>
    <row r="52" spans="1:26" s="7" customFormat="1" ht="16.5" customHeight="1">
      <c r="A52" s="167"/>
      <c r="B52" s="70" t="s">
        <v>158</v>
      </c>
      <c r="C52" s="161" t="s">
        <v>159</v>
      </c>
      <c r="D52" s="162"/>
      <c r="E52" s="162"/>
      <c r="F52" s="162"/>
      <c r="G52" s="162"/>
      <c r="H52" s="162"/>
      <c r="I52" s="162"/>
      <c r="J52" s="162"/>
      <c r="K52" s="162"/>
      <c r="L52" s="162"/>
      <c r="M52" s="162"/>
      <c r="N52" s="163"/>
      <c r="O52" s="154" t="s">
        <v>126</v>
      </c>
      <c r="P52" s="149"/>
      <c r="Q52" s="149"/>
      <c r="R52" s="149"/>
      <c r="S52" s="150"/>
      <c r="T52" s="154" t="s">
        <v>160</v>
      </c>
      <c r="U52" s="149"/>
      <c r="V52" s="149"/>
      <c r="W52" s="150"/>
      <c r="X52" s="154">
        <v>1</v>
      </c>
      <c r="Y52" s="149"/>
      <c r="Z52" s="150"/>
    </row>
    <row r="53" spans="1:26" s="7" customFormat="1" ht="16.5" customHeight="1">
      <c r="A53" s="168"/>
      <c r="B53" s="70" t="s">
        <v>161</v>
      </c>
      <c r="C53" s="161" t="s">
        <v>162</v>
      </c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3"/>
      <c r="O53" s="154" t="s">
        <v>126</v>
      </c>
      <c r="P53" s="149"/>
      <c r="Q53" s="149"/>
      <c r="R53" s="149"/>
      <c r="S53" s="150"/>
      <c r="T53" s="154" t="s">
        <v>163</v>
      </c>
      <c r="U53" s="149"/>
      <c r="V53" s="149"/>
      <c r="W53" s="150"/>
      <c r="X53" s="154">
        <v>1</v>
      </c>
      <c r="Y53" s="149"/>
      <c r="Z53" s="150"/>
    </row>
    <row r="54" spans="1:26" s="7" customFormat="1" ht="16.5" customHeight="1">
      <c r="A54" s="169" t="s">
        <v>164</v>
      </c>
      <c r="B54" s="70" t="s">
        <v>165</v>
      </c>
      <c r="C54" s="161" t="s">
        <v>166</v>
      </c>
      <c r="D54" s="162"/>
      <c r="E54" s="162"/>
      <c r="F54" s="162"/>
      <c r="G54" s="162"/>
      <c r="H54" s="162"/>
      <c r="I54" s="162"/>
      <c r="J54" s="162"/>
      <c r="K54" s="162"/>
      <c r="L54" s="162"/>
      <c r="M54" s="162"/>
      <c r="N54" s="163"/>
      <c r="O54" s="154" t="s">
        <v>167</v>
      </c>
      <c r="P54" s="149"/>
      <c r="Q54" s="149"/>
      <c r="R54" s="149"/>
      <c r="S54" s="150"/>
      <c r="T54" s="154" t="s">
        <v>168</v>
      </c>
      <c r="U54" s="149"/>
      <c r="V54" s="149"/>
      <c r="W54" s="150"/>
      <c r="X54" s="154">
        <v>1</v>
      </c>
      <c r="Y54" s="149"/>
      <c r="Z54" s="150"/>
    </row>
    <row r="55" spans="1:26" s="7" customFormat="1" ht="16.5" customHeight="1">
      <c r="A55" s="170"/>
      <c r="B55" s="70" t="s">
        <v>169</v>
      </c>
      <c r="C55" s="161" t="s">
        <v>170</v>
      </c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3"/>
      <c r="O55" s="154" t="s">
        <v>0</v>
      </c>
      <c r="P55" s="149"/>
      <c r="Q55" s="149"/>
      <c r="R55" s="149"/>
      <c r="S55" s="150"/>
      <c r="T55" s="154" t="s">
        <v>46</v>
      </c>
      <c r="U55" s="149"/>
      <c r="V55" s="149"/>
      <c r="W55" s="150"/>
      <c r="X55" s="154">
        <v>2</v>
      </c>
      <c r="Y55" s="149"/>
      <c r="Z55" s="150"/>
    </row>
    <row r="56" spans="1:26" s="7" customFormat="1" ht="16.5" customHeight="1">
      <c r="A56" s="170"/>
      <c r="B56" s="70" t="s">
        <v>171</v>
      </c>
      <c r="C56" s="161" t="s">
        <v>172</v>
      </c>
      <c r="D56" s="162"/>
      <c r="E56" s="162"/>
      <c r="F56" s="162"/>
      <c r="G56" s="162"/>
      <c r="H56" s="162"/>
      <c r="I56" s="162"/>
      <c r="J56" s="162"/>
      <c r="K56" s="162"/>
      <c r="L56" s="162"/>
      <c r="M56" s="162"/>
      <c r="N56" s="163"/>
      <c r="O56" s="154" t="s">
        <v>0</v>
      </c>
      <c r="P56" s="149"/>
      <c r="Q56" s="149"/>
      <c r="R56" s="149"/>
      <c r="S56" s="150"/>
      <c r="T56" s="154" t="s">
        <v>173</v>
      </c>
      <c r="U56" s="149"/>
      <c r="V56" s="149"/>
      <c r="W56" s="150"/>
      <c r="X56" s="154">
        <v>2</v>
      </c>
      <c r="Y56" s="149"/>
      <c r="Z56" s="150"/>
    </row>
    <row r="57" spans="1:26" s="7" customFormat="1" ht="16.5" customHeight="1">
      <c r="A57" s="170"/>
      <c r="B57" s="70" t="s">
        <v>174</v>
      </c>
      <c r="C57" s="161" t="s">
        <v>175</v>
      </c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3"/>
      <c r="O57" s="154" t="s">
        <v>0</v>
      </c>
      <c r="P57" s="149"/>
      <c r="Q57" s="149"/>
      <c r="R57" s="149"/>
      <c r="S57" s="150"/>
      <c r="T57" s="154" t="s">
        <v>176</v>
      </c>
      <c r="U57" s="149"/>
      <c r="V57" s="149"/>
      <c r="W57" s="150"/>
      <c r="X57" s="154">
        <v>2</v>
      </c>
      <c r="Y57" s="149"/>
      <c r="Z57" s="150"/>
    </row>
    <row r="58" spans="1:26" s="7" customFormat="1" ht="16.5" customHeight="1">
      <c r="A58" s="171"/>
      <c r="B58" s="70" t="s">
        <v>177</v>
      </c>
      <c r="C58" s="161" t="s">
        <v>178</v>
      </c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3"/>
      <c r="O58" s="154" t="s">
        <v>0</v>
      </c>
      <c r="P58" s="149"/>
      <c r="Q58" s="149"/>
      <c r="R58" s="149"/>
      <c r="S58" s="150"/>
      <c r="T58" s="154" t="s">
        <v>179</v>
      </c>
      <c r="U58" s="149"/>
      <c r="V58" s="149"/>
      <c r="W58" s="150"/>
      <c r="X58" s="154">
        <v>22</v>
      </c>
      <c r="Y58" s="149"/>
      <c r="Z58" s="150"/>
    </row>
    <row r="59" spans="1:26" s="7" customFormat="1" ht="16.5" customHeight="1">
      <c r="A59" s="72" t="s">
        <v>180</v>
      </c>
      <c r="B59" s="70" t="s">
        <v>181</v>
      </c>
      <c r="C59" s="161" t="s">
        <v>182</v>
      </c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3"/>
      <c r="O59" s="154" t="s">
        <v>0</v>
      </c>
      <c r="P59" s="149"/>
      <c r="Q59" s="149"/>
      <c r="R59" s="149"/>
      <c r="S59" s="150"/>
      <c r="T59" s="154" t="s">
        <v>183</v>
      </c>
      <c r="U59" s="149"/>
      <c r="V59" s="149"/>
      <c r="W59" s="150"/>
      <c r="X59" s="154">
        <v>8</v>
      </c>
      <c r="Y59" s="149"/>
      <c r="Z59" s="150"/>
    </row>
    <row r="60" spans="1:26" s="7" customFormat="1" ht="16.5" customHeight="1">
      <c r="A60" s="72" t="s">
        <v>184</v>
      </c>
      <c r="B60" s="70" t="s">
        <v>185</v>
      </c>
      <c r="C60" s="161" t="s">
        <v>136</v>
      </c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3"/>
      <c r="O60" s="154" t="s">
        <v>126</v>
      </c>
      <c r="P60" s="149"/>
      <c r="Q60" s="149"/>
      <c r="R60" s="149"/>
      <c r="S60" s="150"/>
      <c r="T60" s="154" t="s">
        <v>186</v>
      </c>
      <c r="U60" s="149"/>
      <c r="V60" s="149"/>
      <c r="W60" s="150"/>
      <c r="X60" s="154">
        <v>1</v>
      </c>
      <c r="Y60" s="149"/>
      <c r="Z60" s="150"/>
    </row>
    <row r="61" spans="1:26" s="7" customFormat="1" ht="16.5" customHeight="1">
      <c r="A61" s="164" t="s">
        <v>187</v>
      </c>
      <c r="B61" s="70" t="s">
        <v>188</v>
      </c>
      <c r="C61" s="161" t="s">
        <v>170</v>
      </c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3"/>
      <c r="O61" s="154" t="s">
        <v>0</v>
      </c>
      <c r="P61" s="149"/>
      <c r="Q61" s="149"/>
      <c r="R61" s="149"/>
      <c r="S61" s="150"/>
      <c r="T61" s="154" t="s">
        <v>46</v>
      </c>
      <c r="U61" s="149"/>
      <c r="V61" s="149"/>
      <c r="W61" s="150"/>
      <c r="X61" s="154">
        <v>2</v>
      </c>
      <c r="Y61" s="149"/>
      <c r="Z61" s="150"/>
    </row>
    <row r="62" spans="1:26" s="7" customFormat="1" ht="16.5" customHeight="1">
      <c r="A62" s="165"/>
      <c r="B62" s="70" t="s">
        <v>189</v>
      </c>
      <c r="C62" s="161" t="s">
        <v>190</v>
      </c>
      <c r="D62" s="162"/>
      <c r="E62" s="162"/>
      <c r="F62" s="162"/>
      <c r="G62" s="162"/>
      <c r="H62" s="162"/>
      <c r="I62" s="162"/>
      <c r="J62" s="162"/>
      <c r="K62" s="162"/>
      <c r="L62" s="162"/>
      <c r="M62" s="162"/>
      <c r="N62" s="163"/>
      <c r="O62" s="154" t="s">
        <v>0</v>
      </c>
      <c r="P62" s="149"/>
      <c r="Q62" s="149"/>
      <c r="R62" s="149"/>
      <c r="S62" s="150"/>
      <c r="T62" s="154" t="s">
        <v>50</v>
      </c>
      <c r="U62" s="149"/>
      <c r="V62" s="149"/>
      <c r="W62" s="150"/>
      <c r="X62" s="154">
        <v>1</v>
      </c>
      <c r="Y62" s="149"/>
      <c r="Z62" s="150"/>
    </row>
    <row r="63" spans="1:26" s="7" customFormat="1" ht="16.5" customHeight="1">
      <c r="A63" s="72" t="s">
        <v>191</v>
      </c>
      <c r="B63" s="70" t="s">
        <v>192</v>
      </c>
      <c r="C63" s="161" t="s">
        <v>140</v>
      </c>
      <c r="D63" s="162"/>
      <c r="E63" s="162"/>
      <c r="F63" s="162"/>
      <c r="G63" s="162"/>
      <c r="H63" s="162"/>
      <c r="I63" s="162"/>
      <c r="J63" s="162"/>
      <c r="K63" s="162"/>
      <c r="L63" s="162"/>
      <c r="M63" s="162"/>
      <c r="N63" s="163"/>
      <c r="O63" s="154" t="s">
        <v>137</v>
      </c>
      <c r="P63" s="149"/>
      <c r="Q63" s="149"/>
      <c r="R63" s="149"/>
      <c r="S63" s="150"/>
      <c r="T63" s="154" t="s">
        <v>141</v>
      </c>
      <c r="U63" s="149"/>
      <c r="V63" s="149"/>
      <c r="W63" s="150"/>
      <c r="X63" s="154">
        <v>1</v>
      </c>
      <c r="Y63" s="149"/>
      <c r="Z63" s="150"/>
    </row>
    <row r="64" spans="1:26" s="7" customFormat="1" ht="16.5" customHeight="1">
      <c r="A64" s="72" t="s">
        <v>193</v>
      </c>
      <c r="B64" s="70" t="s">
        <v>194</v>
      </c>
      <c r="C64" s="161" t="s">
        <v>166</v>
      </c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N64" s="163"/>
      <c r="O64" s="154" t="s">
        <v>167</v>
      </c>
      <c r="P64" s="149"/>
      <c r="Q64" s="149"/>
      <c r="R64" s="149"/>
      <c r="S64" s="150"/>
      <c r="T64" s="154" t="s">
        <v>168</v>
      </c>
      <c r="U64" s="149"/>
      <c r="V64" s="149"/>
      <c r="W64" s="150"/>
      <c r="X64" s="154">
        <v>1</v>
      </c>
      <c r="Y64" s="149"/>
      <c r="Z64" s="150"/>
    </row>
    <row r="65" spans="1:26" s="7" customFormat="1" ht="16.5" customHeight="1">
      <c r="A65" s="72" t="s">
        <v>195</v>
      </c>
      <c r="B65" s="70" t="s">
        <v>196</v>
      </c>
      <c r="C65" s="161" t="s">
        <v>125</v>
      </c>
      <c r="D65" s="162"/>
      <c r="E65" s="162"/>
      <c r="F65" s="162"/>
      <c r="G65" s="162"/>
      <c r="H65" s="162"/>
      <c r="I65" s="162"/>
      <c r="J65" s="162"/>
      <c r="K65" s="162"/>
      <c r="L65" s="162"/>
      <c r="M65" s="162"/>
      <c r="N65" s="163"/>
      <c r="O65" s="154" t="s">
        <v>126</v>
      </c>
      <c r="P65" s="149"/>
      <c r="Q65" s="149"/>
      <c r="R65" s="149"/>
      <c r="S65" s="150"/>
      <c r="T65" s="154" t="s">
        <v>197</v>
      </c>
      <c r="U65" s="149"/>
      <c r="V65" s="149"/>
      <c r="W65" s="150"/>
      <c r="X65" s="154">
        <v>1</v>
      </c>
      <c r="Y65" s="149"/>
      <c r="Z65" s="150"/>
    </row>
    <row r="66" spans="1:26" s="7" customFormat="1" ht="16.5" customHeight="1">
      <c r="A66" s="72" t="s">
        <v>198</v>
      </c>
      <c r="B66" s="70" t="s">
        <v>199</v>
      </c>
      <c r="C66" s="161" t="s">
        <v>159</v>
      </c>
      <c r="D66" s="162"/>
      <c r="E66" s="162"/>
      <c r="F66" s="162"/>
      <c r="G66" s="162"/>
      <c r="H66" s="162"/>
      <c r="I66" s="162"/>
      <c r="J66" s="162"/>
      <c r="K66" s="162"/>
      <c r="L66" s="162"/>
      <c r="M66" s="162"/>
      <c r="N66" s="163"/>
      <c r="O66" s="154" t="s">
        <v>126</v>
      </c>
      <c r="P66" s="149"/>
      <c r="Q66" s="149"/>
      <c r="R66" s="149"/>
      <c r="S66" s="150"/>
      <c r="T66" s="154" t="s">
        <v>160</v>
      </c>
      <c r="U66" s="149"/>
      <c r="V66" s="149"/>
      <c r="W66" s="150"/>
      <c r="X66" s="154">
        <v>1</v>
      </c>
      <c r="Y66" s="149"/>
      <c r="Z66" s="150"/>
    </row>
    <row r="67" spans="1:26" s="7" customFormat="1" ht="16.5" customHeight="1">
      <c r="A67" s="72" t="s">
        <v>200</v>
      </c>
      <c r="B67" s="70" t="s">
        <v>201</v>
      </c>
      <c r="C67" s="161" t="s">
        <v>202</v>
      </c>
      <c r="D67" s="162"/>
      <c r="E67" s="162"/>
      <c r="F67" s="162"/>
      <c r="G67" s="162"/>
      <c r="H67" s="162"/>
      <c r="I67" s="162"/>
      <c r="J67" s="162"/>
      <c r="K67" s="162"/>
      <c r="L67" s="162"/>
      <c r="M67" s="162"/>
      <c r="N67" s="163"/>
      <c r="O67" s="154" t="s">
        <v>137</v>
      </c>
      <c r="P67" s="149"/>
      <c r="Q67" s="149"/>
      <c r="R67" s="149"/>
      <c r="S67" s="150"/>
      <c r="T67" s="154" t="s">
        <v>138</v>
      </c>
      <c r="U67" s="149"/>
      <c r="V67" s="149"/>
      <c r="W67" s="150"/>
      <c r="X67" s="154">
        <v>6</v>
      </c>
      <c r="Y67" s="149"/>
      <c r="Z67" s="150"/>
    </row>
    <row r="68" spans="1:26" s="7" customFormat="1" ht="16.5" customHeight="1">
      <c r="A68" s="70">
        <v>13</v>
      </c>
      <c r="B68" s="70" t="s">
        <v>203</v>
      </c>
      <c r="C68" s="148" t="s">
        <v>204</v>
      </c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60"/>
      <c r="O68" s="151" t="s">
        <v>126</v>
      </c>
      <c r="P68" s="152"/>
      <c r="Q68" s="152"/>
      <c r="R68" s="152"/>
      <c r="S68" s="153"/>
      <c r="T68" s="154" t="s">
        <v>127</v>
      </c>
      <c r="U68" s="149"/>
      <c r="V68" s="149"/>
      <c r="W68" s="150"/>
      <c r="X68" s="154">
        <v>1</v>
      </c>
      <c r="Y68" s="149"/>
      <c r="Z68" s="150"/>
    </row>
    <row r="69" spans="1:26" s="7" customFormat="1" ht="16.5" customHeight="1">
      <c r="A69" s="70" t="s">
        <v>2</v>
      </c>
      <c r="B69" s="70" t="s">
        <v>205</v>
      </c>
      <c r="C69" s="148" t="s">
        <v>206</v>
      </c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60"/>
      <c r="O69" s="151" t="s">
        <v>126</v>
      </c>
      <c r="P69" s="152"/>
      <c r="Q69" s="152"/>
      <c r="R69" s="152"/>
      <c r="S69" s="153"/>
      <c r="T69" s="154" t="s">
        <v>130</v>
      </c>
      <c r="U69" s="149"/>
      <c r="V69" s="149"/>
      <c r="W69" s="150"/>
      <c r="X69" s="154">
        <v>1</v>
      </c>
      <c r="Y69" s="149"/>
      <c r="Z69" s="150"/>
    </row>
    <row r="70" spans="1:26" s="7" customFormat="1" ht="16.5" customHeight="1">
      <c r="A70" s="70" t="s">
        <v>2</v>
      </c>
      <c r="B70" s="70" t="s">
        <v>207</v>
      </c>
      <c r="C70" s="148" t="s">
        <v>208</v>
      </c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60"/>
      <c r="O70" s="151" t="s">
        <v>133</v>
      </c>
      <c r="P70" s="152"/>
      <c r="Q70" s="152"/>
      <c r="R70" s="152"/>
      <c r="S70" s="153"/>
      <c r="T70" s="154" t="s">
        <v>134</v>
      </c>
      <c r="U70" s="149"/>
      <c r="V70" s="149"/>
      <c r="W70" s="150"/>
      <c r="X70" s="154">
        <v>6</v>
      </c>
      <c r="Y70" s="149"/>
      <c r="Z70" s="150"/>
    </row>
    <row r="71" spans="1:26" s="7" customFormat="1" ht="16.5" customHeight="1">
      <c r="A71" s="70" t="s">
        <v>2</v>
      </c>
      <c r="B71" s="70" t="s">
        <v>209</v>
      </c>
      <c r="C71" s="148" t="s">
        <v>210</v>
      </c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60"/>
      <c r="O71" s="151" t="s">
        <v>137</v>
      </c>
      <c r="P71" s="152"/>
      <c r="Q71" s="152"/>
      <c r="R71" s="152"/>
      <c r="S71" s="153"/>
      <c r="T71" s="154" t="s">
        <v>138</v>
      </c>
      <c r="U71" s="149"/>
      <c r="V71" s="149"/>
      <c r="W71" s="150"/>
      <c r="X71" s="154">
        <v>6</v>
      </c>
      <c r="Y71" s="149"/>
      <c r="Z71" s="150"/>
    </row>
    <row r="72" spans="1:26" s="7" customFormat="1" ht="16.5" customHeight="1">
      <c r="A72" s="70" t="s">
        <v>2</v>
      </c>
      <c r="B72" s="70" t="s">
        <v>211</v>
      </c>
      <c r="C72" s="148" t="s">
        <v>212</v>
      </c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60"/>
      <c r="O72" s="151" t="s">
        <v>137</v>
      </c>
      <c r="P72" s="152"/>
      <c r="Q72" s="152"/>
      <c r="R72" s="152"/>
      <c r="S72" s="153"/>
      <c r="T72" s="154" t="s">
        <v>141</v>
      </c>
      <c r="U72" s="149"/>
      <c r="V72" s="149"/>
      <c r="W72" s="150"/>
      <c r="X72" s="154">
        <v>6</v>
      </c>
      <c r="Y72" s="149"/>
      <c r="Z72" s="150"/>
    </row>
    <row r="73" spans="1:26" s="7" customFormat="1" ht="16.5" customHeight="1">
      <c r="A73" s="70">
        <v>14</v>
      </c>
      <c r="B73" s="10" t="s">
        <v>213</v>
      </c>
      <c r="C73" s="148" t="s">
        <v>214</v>
      </c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N73" s="150"/>
      <c r="O73" s="151" t="s">
        <v>0</v>
      </c>
      <c r="P73" s="152"/>
      <c r="Q73" s="152"/>
      <c r="R73" s="152"/>
      <c r="S73" s="153"/>
      <c r="T73" s="154" t="s">
        <v>154</v>
      </c>
      <c r="U73" s="149"/>
      <c r="V73" s="149"/>
      <c r="W73" s="150"/>
      <c r="X73" s="156">
        <v>1</v>
      </c>
      <c r="Y73" s="157"/>
      <c r="Z73" s="158"/>
    </row>
    <row r="74" spans="1:26" s="7" customFormat="1" ht="16.5" customHeight="1">
      <c r="A74" s="70" t="s">
        <v>2</v>
      </c>
      <c r="B74" s="10" t="s">
        <v>215</v>
      </c>
      <c r="C74" s="148" t="s">
        <v>216</v>
      </c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50"/>
      <c r="O74" s="151" t="s">
        <v>0</v>
      </c>
      <c r="P74" s="152"/>
      <c r="Q74" s="152"/>
      <c r="R74" s="152"/>
      <c r="S74" s="153"/>
      <c r="T74" s="154" t="s">
        <v>157</v>
      </c>
      <c r="U74" s="149"/>
      <c r="V74" s="149"/>
      <c r="W74" s="150"/>
      <c r="X74" s="156">
        <v>4</v>
      </c>
      <c r="Y74" s="157"/>
      <c r="Z74" s="158"/>
    </row>
    <row r="75" spans="1:26" s="7" customFormat="1" ht="16.5" customHeight="1">
      <c r="A75" s="70" t="s">
        <v>2</v>
      </c>
      <c r="B75" s="10" t="s">
        <v>217</v>
      </c>
      <c r="C75" s="148" t="s">
        <v>218</v>
      </c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50"/>
      <c r="O75" s="151" t="s">
        <v>126</v>
      </c>
      <c r="P75" s="152"/>
      <c r="Q75" s="152"/>
      <c r="R75" s="152"/>
      <c r="S75" s="153"/>
      <c r="T75" s="154" t="s">
        <v>160</v>
      </c>
      <c r="U75" s="149"/>
      <c r="V75" s="149"/>
      <c r="W75" s="150"/>
      <c r="X75" s="156">
        <v>1</v>
      </c>
      <c r="Y75" s="157"/>
      <c r="Z75" s="158"/>
    </row>
    <row r="76" spans="1:26" s="7" customFormat="1" ht="16.5" customHeight="1">
      <c r="A76" s="70" t="s">
        <v>2</v>
      </c>
      <c r="B76" s="10" t="s">
        <v>219</v>
      </c>
      <c r="C76" s="148" t="s">
        <v>220</v>
      </c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50"/>
      <c r="O76" s="151" t="s">
        <v>126</v>
      </c>
      <c r="P76" s="152"/>
      <c r="Q76" s="152"/>
      <c r="R76" s="152"/>
      <c r="S76" s="153"/>
      <c r="T76" s="154" t="s">
        <v>163</v>
      </c>
      <c r="U76" s="149"/>
      <c r="V76" s="149"/>
      <c r="W76" s="150"/>
      <c r="X76" s="156">
        <v>1</v>
      </c>
      <c r="Y76" s="157"/>
      <c r="Z76" s="158"/>
    </row>
    <row r="77" spans="1:26" s="7" customFormat="1" ht="16.5" customHeight="1">
      <c r="A77" s="70">
        <v>15</v>
      </c>
      <c r="B77" s="70" t="s">
        <v>221</v>
      </c>
      <c r="C77" s="148" t="s">
        <v>222</v>
      </c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50"/>
      <c r="O77" s="154" t="s">
        <v>167</v>
      </c>
      <c r="P77" s="149"/>
      <c r="Q77" s="149"/>
      <c r="R77" s="149"/>
      <c r="S77" s="150"/>
      <c r="T77" s="154" t="s">
        <v>168</v>
      </c>
      <c r="U77" s="149"/>
      <c r="V77" s="149"/>
      <c r="W77" s="150"/>
      <c r="X77" s="154">
        <v>1</v>
      </c>
      <c r="Y77" s="149"/>
      <c r="Z77" s="150"/>
    </row>
    <row r="78" spans="1:26" s="7" customFormat="1" ht="16.5" customHeight="1">
      <c r="A78" s="70" t="s">
        <v>2</v>
      </c>
      <c r="B78" s="70" t="s">
        <v>223</v>
      </c>
      <c r="C78" s="148" t="s">
        <v>56</v>
      </c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50"/>
      <c r="O78" s="151" t="s">
        <v>0</v>
      </c>
      <c r="P78" s="152"/>
      <c r="Q78" s="152"/>
      <c r="R78" s="152"/>
      <c r="S78" s="153"/>
      <c r="T78" s="154" t="s">
        <v>46</v>
      </c>
      <c r="U78" s="149"/>
      <c r="V78" s="149"/>
      <c r="W78" s="150"/>
      <c r="X78" s="154">
        <v>2</v>
      </c>
      <c r="Y78" s="149"/>
      <c r="Z78" s="150"/>
    </row>
    <row r="79" spans="1:26" s="7" customFormat="1" ht="16.5" customHeight="1">
      <c r="A79" s="70" t="s">
        <v>2</v>
      </c>
      <c r="B79" s="70" t="s">
        <v>224</v>
      </c>
      <c r="C79" s="148" t="s">
        <v>225</v>
      </c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50"/>
      <c r="O79" s="151" t="s">
        <v>0</v>
      </c>
      <c r="P79" s="152"/>
      <c r="Q79" s="152"/>
      <c r="R79" s="152"/>
      <c r="S79" s="153"/>
      <c r="T79" s="154" t="s">
        <v>173</v>
      </c>
      <c r="U79" s="149"/>
      <c r="V79" s="149"/>
      <c r="W79" s="150"/>
      <c r="X79" s="154">
        <v>2</v>
      </c>
      <c r="Y79" s="149"/>
      <c r="Z79" s="150"/>
    </row>
    <row r="80" spans="1:26" s="7" customFormat="1" ht="16.5" customHeight="1">
      <c r="A80" s="70" t="s">
        <v>2</v>
      </c>
      <c r="B80" s="70" t="s">
        <v>226</v>
      </c>
      <c r="C80" s="148" t="s">
        <v>227</v>
      </c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50"/>
      <c r="O80" s="151" t="s">
        <v>0</v>
      </c>
      <c r="P80" s="152"/>
      <c r="Q80" s="152"/>
      <c r="R80" s="152"/>
      <c r="S80" s="153"/>
      <c r="T80" s="154" t="s">
        <v>176</v>
      </c>
      <c r="U80" s="149"/>
      <c r="V80" s="149"/>
      <c r="W80" s="150"/>
      <c r="X80" s="154">
        <v>2</v>
      </c>
      <c r="Y80" s="149"/>
      <c r="Z80" s="150"/>
    </row>
    <row r="81" spans="1:26" s="7" customFormat="1" ht="16.5" customHeight="1">
      <c r="A81" s="70" t="s">
        <v>2</v>
      </c>
      <c r="B81" s="70" t="s">
        <v>228</v>
      </c>
      <c r="C81" s="148" t="s">
        <v>229</v>
      </c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50"/>
      <c r="O81" s="151" t="s">
        <v>0</v>
      </c>
      <c r="P81" s="152"/>
      <c r="Q81" s="152"/>
      <c r="R81" s="152"/>
      <c r="S81" s="153"/>
      <c r="T81" s="154" t="s">
        <v>179</v>
      </c>
      <c r="U81" s="149"/>
      <c r="V81" s="149"/>
      <c r="W81" s="150"/>
      <c r="X81" s="154">
        <v>2</v>
      </c>
      <c r="Y81" s="149"/>
      <c r="Z81" s="150"/>
    </row>
    <row r="82" spans="1:26" s="7" customFormat="1" ht="20.399999999999999" customHeight="1">
      <c r="A82" s="8" t="s">
        <v>2</v>
      </c>
      <c r="C82" s="155"/>
      <c r="D82" s="155"/>
      <c r="E82" s="155"/>
      <c r="F82" s="155"/>
      <c r="G82" s="155"/>
      <c r="H82" s="155"/>
      <c r="I82" s="155"/>
      <c r="J82" s="155"/>
      <c r="K82" s="155"/>
      <c r="L82" s="155"/>
      <c r="M82" s="155"/>
      <c r="N82" s="155"/>
      <c r="O82" s="155"/>
      <c r="P82" s="155"/>
      <c r="Q82" s="155"/>
      <c r="R82" s="155"/>
      <c r="S82" s="155"/>
      <c r="T82" s="155"/>
      <c r="U82" s="155"/>
      <c r="V82" s="155"/>
      <c r="W82" s="155"/>
      <c r="X82" s="155"/>
      <c r="Y82" s="155"/>
      <c r="Z82" s="155"/>
    </row>
    <row r="83" spans="1:26" ht="15.6">
      <c r="A83" s="73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</sheetData>
  <mergeCells count="270">
    <mergeCell ref="A1:V5"/>
    <mergeCell ref="A6:Z6"/>
    <mergeCell ref="A7:B7"/>
    <mergeCell ref="G7:K7"/>
    <mergeCell ref="G8:J8"/>
    <mergeCell ref="A9:B9"/>
    <mergeCell ref="G9:J9"/>
    <mergeCell ref="S9:V10"/>
    <mergeCell ref="D10:F10"/>
    <mergeCell ref="G10:J10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</mergeCells>
  <pageMargins left="0.45" right="0.7" top="0.75" bottom="0.75" header="0.3" footer="0.3"/>
  <pageSetup scale="70" orientation="landscape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9CEA4-F610-42F5-A3D7-B5B52249D456}">
  <sheetPr>
    <pageSetUpPr fitToPage="1"/>
  </sheetPr>
  <dimension ref="A1:Z28"/>
  <sheetViews>
    <sheetView zoomScale="89" zoomScaleNormal="89" workbookViewId="0">
      <selection activeCell="Z8" sqref="Z8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6" ht="15">
      <c r="A1" s="212" t="s">
        <v>78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60"/>
      <c r="X1" s="60"/>
      <c r="Y1" s="60"/>
      <c r="Z1" s="60"/>
    </row>
    <row r="2" spans="1:26" ht="15">
      <c r="A2" s="212"/>
      <c r="B2" s="212"/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2"/>
      <c r="V2" s="212"/>
      <c r="W2" s="60"/>
      <c r="X2" s="60"/>
      <c r="Y2" s="60"/>
      <c r="Z2" s="60"/>
    </row>
    <row r="3" spans="1:26" ht="15">
      <c r="A3" s="212"/>
      <c r="B3" s="212"/>
      <c r="C3" s="212"/>
      <c r="D3" s="212"/>
      <c r="E3" s="212"/>
      <c r="F3" s="212"/>
      <c r="G3" s="212"/>
      <c r="H3" s="212"/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60"/>
      <c r="X3" s="60"/>
      <c r="Y3" s="60"/>
      <c r="Z3" s="60"/>
    </row>
    <row r="4" spans="1:26" ht="15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60"/>
      <c r="X4" s="60"/>
      <c r="Y4" s="60"/>
      <c r="Z4" s="60"/>
    </row>
    <row r="5" spans="1:26" ht="15">
      <c r="A5" s="212"/>
      <c r="B5" s="212"/>
      <c r="C5" s="212"/>
      <c r="D5" s="212"/>
      <c r="E5" s="212"/>
      <c r="F5" s="212"/>
      <c r="G5" s="212"/>
      <c r="H5" s="212"/>
      <c r="I5" s="212"/>
      <c r="J5" s="212"/>
      <c r="K5" s="212"/>
      <c r="L5" s="212"/>
      <c r="M5" s="212"/>
      <c r="N5" s="212"/>
      <c r="O5" s="212"/>
      <c r="P5" s="212"/>
      <c r="Q5" s="212"/>
      <c r="R5" s="212"/>
      <c r="S5" s="212"/>
      <c r="T5" s="212"/>
      <c r="U5" s="212"/>
      <c r="V5" s="212"/>
      <c r="W5" s="60"/>
      <c r="X5" s="60"/>
      <c r="Y5" s="60"/>
      <c r="Z5" s="60"/>
    </row>
    <row r="6" spans="1:26" ht="30">
      <c r="A6" s="213" t="s">
        <v>79</v>
      </c>
      <c r="B6" s="213"/>
      <c r="C6" s="213"/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</row>
    <row r="7" spans="1:26" s="63" customFormat="1" ht="17.399999999999999">
      <c r="A7" s="214" t="s">
        <v>79</v>
      </c>
      <c r="B7" s="214"/>
      <c r="C7" s="82" t="s">
        <v>80</v>
      </c>
      <c r="E7" s="11"/>
      <c r="F7" s="11"/>
      <c r="G7" s="205" t="str">
        <f>'ใบงาน Agilent_JOB 7.1'!F7</f>
        <v>xxx</v>
      </c>
      <c r="H7" s="205"/>
      <c r="I7" s="205"/>
      <c r="J7" s="205"/>
      <c r="L7" s="11"/>
      <c r="M7" s="11"/>
      <c r="N7" s="11"/>
      <c r="O7" s="11"/>
      <c r="P7" s="11"/>
      <c r="Q7" s="11"/>
      <c r="R7" s="11"/>
      <c r="S7" s="96" t="s">
        <v>67</v>
      </c>
      <c r="W7" s="86" t="str">
        <f>'ใบงาน Agilent_JOB 7.1'!M7</f>
        <v>xxx</v>
      </c>
      <c r="X7" s="86"/>
      <c r="Y7" s="86"/>
      <c r="Z7" s="86"/>
    </row>
    <row r="8" spans="1:26" s="7" customFormat="1" ht="22.5" customHeight="1">
      <c r="A8" s="61" t="s">
        <v>81</v>
      </c>
      <c r="B8" s="62" t="str">
        <f>'ใบงาน Agilent_JOB 7.1'!F8</f>
        <v>K9801-60114</v>
      </c>
      <c r="C8" s="62" t="s">
        <v>82</v>
      </c>
      <c r="D8" s="62"/>
      <c r="E8" s="62"/>
      <c r="F8" s="62"/>
      <c r="G8" s="215" t="str">
        <f>'ใบงาน Agilent_JOB 7.1'!F9</f>
        <v>K9801-60087</v>
      </c>
      <c r="H8" s="215"/>
      <c r="I8" s="215"/>
      <c r="J8" s="215"/>
      <c r="K8" s="56"/>
      <c r="L8" s="56"/>
      <c r="M8" s="56"/>
      <c r="N8" s="56"/>
      <c r="O8" s="56"/>
      <c r="P8" s="56"/>
      <c r="Q8" s="56"/>
      <c r="R8" s="56"/>
      <c r="S8" s="56" t="s">
        <v>233</v>
      </c>
      <c r="T8" s="56"/>
      <c r="W8" s="7" t="str">
        <f>'ใบงาน Agilent_JOB 7.1'!N9</f>
        <v>PO12345</v>
      </c>
    </row>
    <row r="9" spans="1:26" s="7" customFormat="1" ht="19.2" customHeight="1">
      <c r="A9" s="214" t="s">
        <v>2</v>
      </c>
      <c r="B9" s="214"/>
      <c r="C9" s="63"/>
      <c r="D9" s="63"/>
      <c r="E9" s="63"/>
      <c r="F9" s="63"/>
      <c r="G9" s="215" t="str">
        <f>'ใบงาน Agilent_JOB 7.2'!F9</f>
        <v>K9801-60116</v>
      </c>
      <c r="H9" s="215"/>
      <c r="I9" s="215"/>
      <c r="J9" s="215"/>
      <c r="L9" s="14"/>
      <c r="M9" s="14"/>
      <c r="N9" s="14"/>
      <c r="O9" s="14"/>
      <c r="P9" s="14"/>
      <c r="Q9" s="14"/>
      <c r="R9" s="14"/>
    </row>
    <row r="10" spans="1:26" s="7" customFormat="1" ht="13.8">
      <c r="A10" s="56" t="s">
        <v>84</v>
      </c>
      <c r="B10" s="14">
        <f>'ใบงาน Agilent_JOB 7.1'!N8/50</f>
        <v>40</v>
      </c>
      <c r="C10" s="14"/>
      <c r="D10" s="100" t="s">
        <v>2</v>
      </c>
      <c r="E10" s="100"/>
      <c r="F10" s="100"/>
      <c r="G10" s="205" t="s">
        <v>2</v>
      </c>
      <c r="H10" s="205"/>
      <c r="I10" s="205"/>
      <c r="J10" s="205"/>
      <c r="K10" s="57"/>
      <c r="L10" s="14"/>
      <c r="M10" s="14"/>
      <c r="N10" s="14"/>
      <c r="O10" s="14"/>
      <c r="P10" s="14"/>
      <c r="Q10" s="14"/>
      <c r="R10" s="14"/>
    </row>
    <row r="11" spans="1:26" s="7" customFormat="1" ht="13.8">
      <c r="B11" s="100"/>
      <c r="C11" s="14"/>
      <c r="D11" s="14"/>
      <c r="E11" s="14"/>
      <c r="F11" s="14"/>
      <c r="G11" s="205" t="s">
        <v>2</v>
      </c>
      <c r="H11" s="205"/>
      <c r="I11" s="205"/>
      <c r="J11" s="205"/>
      <c r="K11" s="14"/>
      <c r="L11" s="14"/>
      <c r="M11" s="14"/>
      <c r="N11" s="14"/>
      <c r="O11" s="14"/>
      <c r="P11" s="14"/>
      <c r="Q11" s="14"/>
      <c r="R11" s="14"/>
      <c r="S11" s="99" t="s">
        <v>83</v>
      </c>
      <c r="T11" s="99"/>
      <c r="U11" s="99"/>
      <c r="V11" s="99"/>
    </row>
    <row r="12" spans="1:26" s="7" customFormat="1" ht="13.8">
      <c r="A12" s="14" t="s">
        <v>85</v>
      </c>
      <c r="B12" s="100"/>
      <c r="C12" s="14"/>
      <c r="D12" s="14"/>
      <c r="E12" s="14"/>
      <c r="F12" s="14"/>
      <c r="G12" s="205" t="s">
        <v>2</v>
      </c>
      <c r="H12" s="205"/>
      <c r="I12" s="205"/>
      <c r="J12" s="205"/>
      <c r="K12" s="14"/>
      <c r="L12" s="14"/>
      <c r="M12" s="14"/>
      <c r="N12" s="14"/>
      <c r="O12" s="14"/>
      <c r="P12" s="14"/>
      <c r="Q12" s="14"/>
      <c r="R12" s="14"/>
      <c r="S12" s="99"/>
      <c r="T12" s="99"/>
      <c r="U12" s="99"/>
      <c r="V12" s="99"/>
    </row>
    <row r="13" spans="1:26" s="7" customFormat="1" ht="13.8">
      <c r="A13" s="14"/>
      <c r="B13" s="217"/>
      <c r="C13" s="14"/>
      <c r="D13" s="14"/>
      <c r="E13" s="14"/>
      <c r="F13" s="14"/>
      <c r="G13" s="57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</row>
    <row r="14" spans="1:26" s="7" customFormat="1" ht="13.8">
      <c r="A14" s="206" t="s">
        <v>17</v>
      </c>
      <c r="B14" s="206" t="s">
        <v>86</v>
      </c>
      <c r="C14" s="198" t="s">
        <v>87</v>
      </c>
      <c r="D14" s="207"/>
      <c r="E14" s="207"/>
      <c r="F14" s="207"/>
      <c r="G14" s="207"/>
      <c r="H14" s="208"/>
      <c r="I14" s="198" t="s">
        <v>23</v>
      </c>
      <c r="J14" s="207"/>
      <c r="K14" s="207"/>
      <c r="L14" s="207"/>
      <c r="M14" s="207"/>
      <c r="N14" s="208"/>
      <c r="O14" s="198" t="s">
        <v>24</v>
      </c>
      <c r="P14" s="199"/>
      <c r="Q14" s="199"/>
      <c r="R14" s="199"/>
      <c r="S14" s="199"/>
      <c r="T14" s="200"/>
      <c r="U14" s="204" t="s">
        <v>88</v>
      </c>
      <c r="V14" s="204"/>
      <c r="W14" s="204"/>
      <c r="X14" s="204"/>
      <c r="Y14" s="204"/>
      <c r="Z14" s="204"/>
    </row>
    <row r="15" spans="1:26" s="7" customFormat="1" ht="13.8">
      <c r="A15" s="118"/>
      <c r="B15" s="206"/>
      <c r="C15" s="209"/>
      <c r="D15" s="210"/>
      <c r="E15" s="210"/>
      <c r="F15" s="210"/>
      <c r="G15" s="210"/>
      <c r="H15" s="211"/>
      <c r="I15" s="209"/>
      <c r="J15" s="210"/>
      <c r="K15" s="210"/>
      <c r="L15" s="210"/>
      <c r="M15" s="210"/>
      <c r="N15" s="211"/>
      <c r="O15" s="201"/>
      <c r="P15" s="202"/>
      <c r="Q15" s="202"/>
      <c r="R15" s="202"/>
      <c r="S15" s="202"/>
      <c r="T15" s="203"/>
      <c r="U15" s="204"/>
      <c r="V15" s="204"/>
      <c r="W15" s="204"/>
      <c r="X15" s="204"/>
      <c r="Y15" s="204"/>
      <c r="Z15" s="204"/>
    </row>
    <row r="16" spans="1:26" s="65" customFormat="1" ht="17.399999999999999">
      <c r="A16" s="195">
        <v>1</v>
      </c>
      <c r="B16" s="64" t="s">
        <v>89</v>
      </c>
      <c r="C16" s="193"/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</row>
    <row r="17" spans="1:26" s="65" customFormat="1" ht="17.399999999999999">
      <c r="A17" s="196"/>
      <c r="B17" s="64" t="s">
        <v>90</v>
      </c>
      <c r="C17" s="193"/>
      <c r="D17" s="193"/>
      <c r="E17" s="193"/>
      <c r="F17" s="193"/>
      <c r="G17" s="193"/>
      <c r="H17" s="193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</row>
    <row r="18" spans="1:26" s="65" customFormat="1" ht="17.399999999999999">
      <c r="A18" s="196"/>
      <c r="B18" s="64" t="s">
        <v>91</v>
      </c>
      <c r="C18" s="193"/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</row>
    <row r="19" spans="1:26" s="65" customFormat="1" ht="17.399999999999999">
      <c r="A19" s="196"/>
      <c r="B19" s="64" t="s">
        <v>92</v>
      </c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</row>
    <row r="20" spans="1:26" s="65" customFormat="1" ht="17.399999999999999">
      <c r="A20" s="197"/>
      <c r="B20" s="64" t="s">
        <v>93</v>
      </c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</row>
    <row r="21" spans="1:26" s="65" customFormat="1" ht="17.399999999999999">
      <c r="A21" s="66">
        <v>2</v>
      </c>
      <c r="B21" s="67" t="s">
        <v>94</v>
      </c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</row>
    <row r="22" spans="1:26" s="65" customFormat="1" ht="17.399999999999999">
      <c r="A22" s="66">
        <v>3</v>
      </c>
      <c r="B22" s="67" t="s">
        <v>95</v>
      </c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</row>
    <row r="23" spans="1:26" s="65" customFormat="1" ht="17.399999999999999">
      <c r="A23" s="66">
        <v>4</v>
      </c>
      <c r="B23" s="67" t="s">
        <v>96</v>
      </c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</row>
    <row r="24" spans="1:26" s="7" customFormat="1" ht="13.8">
      <c r="A24" s="8"/>
      <c r="C24" s="175"/>
      <c r="D24" s="175"/>
      <c r="E24" s="175"/>
      <c r="F24" s="175"/>
    </row>
    <row r="25" spans="1:26" s="69" customFormat="1" ht="15">
      <c r="A25" s="68"/>
      <c r="L25" s="187"/>
      <c r="M25" s="187"/>
    </row>
    <row r="26" spans="1:26" s="7" customFormat="1" ht="13.8">
      <c r="A26" s="8"/>
      <c r="L26" s="175"/>
      <c r="M26" s="175"/>
    </row>
    <row r="27" spans="1:26" s="7" customFormat="1" ht="13.8">
      <c r="A27" s="8"/>
      <c r="L27" s="175"/>
      <c r="M27" s="175"/>
    </row>
    <row r="28" spans="1:26" s="7" customFormat="1" ht="13.8">
      <c r="A28" s="8"/>
      <c r="L28" s="175"/>
      <c r="M28" s="175"/>
    </row>
  </sheetData>
  <mergeCells count="57">
    <mergeCell ref="A9:B9"/>
    <mergeCell ref="G9:J9"/>
    <mergeCell ref="S11:V12"/>
    <mergeCell ref="D10:F10"/>
    <mergeCell ref="G10:J10"/>
    <mergeCell ref="B11:B13"/>
    <mergeCell ref="G11:J11"/>
    <mergeCell ref="G12:J12"/>
    <mergeCell ref="A1:V5"/>
    <mergeCell ref="A6:Z6"/>
    <mergeCell ref="A7:B7"/>
    <mergeCell ref="G7:J7"/>
    <mergeCell ref="G8:J8"/>
    <mergeCell ref="A14:A15"/>
    <mergeCell ref="B14:B15"/>
    <mergeCell ref="C14:H15"/>
    <mergeCell ref="I14:N15"/>
    <mergeCell ref="A16:A20"/>
    <mergeCell ref="C16:H16"/>
    <mergeCell ref="I16:N16"/>
    <mergeCell ref="C19:H19"/>
    <mergeCell ref="I19:N19"/>
    <mergeCell ref="O19:T19"/>
    <mergeCell ref="U19:Z19"/>
    <mergeCell ref="C20:H20"/>
    <mergeCell ref="I20:N20"/>
    <mergeCell ref="O20:T20"/>
    <mergeCell ref="U20:Z20"/>
    <mergeCell ref="O14:T15"/>
    <mergeCell ref="U14:Z15"/>
    <mergeCell ref="U17:Z17"/>
    <mergeCell ref="C18:H18"/>
    <mergeCell ref="I18:N18"/>
    <mergeCell ref="O18:T18"/>
    <mergeCell ref="U18:Z18"/>
    <mergeCell ref="O16:T16"/>
    <mergeCell ref="U16:Z16"/>
    <mergeCell ref="C17:H17"/>
    <mergeCell ref="I17:N17"/>
    <mergeCell ref="O17:T17"/>
    <mergeCell ref="O23:T23"/>
    <mergeCell ref="U23:Z23"/>
    <mergeCell ref="C24:F24"/>
    <mergeCell ref="C21:H21"/>
    <mergeCell ref="I21:N21"/>
    <mergeCell ref="O21:T21"/>
    <mergeCell ref="U21:Z21"/>
    <mergeCell ref="C22:H22"/>
    <mergeCell ref="I22:N22"/>
    <mergeCell ref="O22:T22"/>
    <mergeCell ref="U22:Z22"/>
    <mergeCell ref="L25:M25"/>
    <mergeCell ref="L26:M26"/>
    <mergeCell ref="L27:M27"/>
    <mergeCell ref="L28:M28"/>
    <mergeCell ref="C23:H23"/>
    <mergeCell ref="I23:N23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ใบงาน Agilent_JOB 7.1</vt:lpstr>
      <vt:lpstr>ใบงาน Agilent_JOB 7.2</vt:lpstr>
      <vt:lpstr>A2-QC ถุง</vt:lpstr>
      <vt:lpstr>P2-QCกล่อง</vt:lpstr>
      <vt:lpstr>'ใบงาน Agilent_JOB 7.1'!Print_Area</vt:lpstr>
      <vt:lpstr>'ใบงาน Agilent_JOB 7.2'!Print_Area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2026-08-03T02:34:20Z</cp:lastPrinted>
  <dcterms:created xsi:type="dcterms:W3CDTF">2022-12-02T03:16:26Z</dcterms:created>
  <dcterms:modified xsi:type="dcterms:W3CDTF">2026-08-11T04:07:20Z</dcterms:modified>
</cp:coreProperties>
</file>