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E5840BB3-A4E1-408F-B68F-03119857DF60}" xr6:coauthVersionLast="47" xr6:coauthVersionMax="47" xr10:uidLastSave="{00000000-0000-0000-0000-000000000000}"/>
  <bookViews>
    <workbookView xWindow="-108" yWindow="-108" windowWidth="30936" windowHeight="16776" tabRatio="958" activeTab="2" xr2:uid="{00000000-000D-0000-FFFF-FFFF00000000}"/>
  </bookViews>
  <sheets>
    <sheet name="ใบงาน Agilent_JOB 10" sheetId="1" r:id="rId1"/>
    <sheet name="A2-QC ถุง" sheetId="2" r:id="rId2"/>
    <sheet name="P2-QC กล่อง" sheetId="3" r:id="rId3"/>
  </sheets>
  <definedNames>
    <definedName name="_xlnm.Print_Area" localSheetId="0">'ใบงาน Agilent_JOB 10'!$A$1:$O$37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0" i="3" l="1"/>
  <c r="W8" i="3"/>
  <c r="G8" i="3"/>
  <c r="B8" i="3"/>
  <c r="W7" i="3"/>
  <c r="G7" i="3"/>
  <c r="B9" i="2"/>
  <c r="G8" i="2"/>
  <c r="B8" i="2"/>
  <c r="W7" i="2"/>
  <c r="G7" i="2"/>
  <c r="F30" i="1"/>
  <c r="D22" i="1"/>
  <c r="D21" i="1"/>
  <c r="E17" i="1" l="1"/>
  <c r="G17" i="1" s="1"/>
  <c r="H1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NGERNKONGKAEW, Siriprapha</author>
  </authors>
  <commentList>
    <comment ref="H47" authorId="0" shapeId="0" xr:uid="{00000000-0006-0000-0000-000001000000}">
      <text>
        <r>
          <rPr>
            <sz val="11"/>
            <color theme="1"/>
            <rFont val="Calibri"/>
            <family val="2"/>
            <charset val="222"/>
            <scheme val="minor"/>
          </rPr>
          <t>NGERNKONGKAEW, Siriprapha:
Change from 6 to 1</t>
        </r>
      </text>
    </comment>
  </commentList>
</comments>
</file>

<file path=xl/sharedStrings.xml><?xml version="1.0" encoding="utf-8"?>
<sst xmlns="http://schemas.openxmlformats.org/spreadsheetml/2006/main" count="352" uniqueCount="227">
  <si>
    <t xml:space="preserve">บริษัท แวตสก้า จำกัด/ Vatska Company Limited
53/2 ต. อ้อมเกร็ด อ. ปากเกร็ด จ. นนทบุรี 11120/ 53/2 T. Om-Kred A. Pakkred Nonthaburi 11120 Thailand
โทร. +662 9244161 อีเมล: sales@vatska.com/ Tel: +662 9244161 E-mail: sales@vatska.com </t>
  </si>
  <si>
    <t xml:space="preserve">ใบงานตัดสายยางและ บรรจุ  </t>
  </si>
  <si>
    <t>JOB 10</t>
  </si>
  <si>
    <t>วันที่</t>
  </si>
  <si>
    <t>Lot No:</t>
  </si>
  <si>
    <t>xxxx</t>
  </si>
  <si>
    <t>เลขที่ใบงาน RI</t>
  </si>
  <si>
    <t>AGA</t>
  </si>
  <si>
    <t>แผนก</t>
  </si>
  <si>
    <t>ผลิต (Production)</t>
  </si>
  <si>
    <t>MPN:</t>
  </si>
  <si>
    <t>K9801-60094</t>
  </si>
  <si>
    <t>จำนวนชุดที่ต้องการ</t>
  </si>
  <si>
    <t>ลูกค้า</t>
  </si>
  <si>
    <t>อาจิแลนจ์ (Agilent)</t>
  </si>
  <si>
    <t>Children PN:</t>
  </si>
  <si>
    <t>-</t>
  </si>
  <si>
    <t>Customer PO</t>
  </si>
  <si>
    <t>PO12345</t>
  </si>
  <si>
    <t>ABW0007</t>
  </si>
  <si>
    <t>OD/ID: 1/4"(6.3500mm) 1/8"(3.1750mm)</t>
  </si>
  <si>
    <t>วัสดุที่เบิกใช้ในการตัดสายยาง</t>
  </si>
  <si>
    <t>ลำดับ</t>
  </si>
  <si>
    <t>รายละเอียด</t>
  </si>
  <si>
    <t>รุ่น</t>
  </si>
  <si>
    <t>จำนวน/ ชุด</t>
  </si>
  <si>
    <t>จำนวนสายยางที่เบิกเป็นมิลลิเมตร</t>
  </si>
  <si>
    <t>ควายยาวสายยาง(ฟุต)ต่อกล่อง</t>
  </si>
  <si>
    <t>จำนวนกล่องของสายยางที่เบิกทั้งหมด</t>
  </si>
  <si>
    <t>สายยาง</t>
  </si>
  <si>
    <t>ABW00007</t>
  </si>
  <si>
    <t>แท่งพลาสติคเพื่อใช้ตัดสายยาง</t>
  </si>
  <si>
    <t>กล่องพลาสติคใส่สายยางพร้อมฝาปิดกันฝุ่น</t>
  </si>
  <si>
    <t>1 กล่อง</t>
  </si>
  <si>
    <t>แผ่นยางสำหรับกำจัดฝุ่น</t>
  </si>
  <si>
    <t>1 แผ่น</t>
  </si>
  <si>
    <t xml:space="preserve">ถุงพลาสติค S </t>
  </si>
  <si>
    <t>4x 6 นิ้ว</t>
  </si>
  <si>
    <t>สติกเกอร์</t>
  </si>
  <si>
    <t>5 x 8 ซม</t>
  </si>
  <si>
    <t>ไม้บรรทัดเหล็ก</t>
  </si>
  <si>
    <t>ขนาด 30 เซนติเมตร</t>
  </si>
  <si>
    <t>1 อัน</t>
  </si>
  <si>
    <t>ถุงพลาสติค packing</t>
  </si>
  <si>
    <t>การตรวจสอบคุณภาพก่อนบรรจุ  / QC in process</t>
  </si>
  <si>
    <t>จำนวนสายยางที่ตัดได้(เส้น)</t>
  </si>
  <si>
    <t xml:space="preserve">ตารางเบิกสายยาง </t>
  </si>
  <si>
    <t>จำนวนที่ตรวจสอบความยาวของสายยาง (MM)</t>
  </si>
  <si>
    <t>ลายเซ็นต์</t>
  </si>
  <si>
    <t xml:space="preserve">วันที่ </t>
  </si>
  <si>
    <t>จำนวน/ม้วน</t>
  </si>
  <si>
    <t>Lot number ของสายยาง</t>
  </si>
  <si>
    <t>ความยาวที่ต้องการ</t>
  </si>
  <si>
    <t>จำนวนที่ผ่าน</t>
  </si>
  <si>
    <t>จำนวนที่ไม่ผ่าน</t>
  </si>
  <si>
    <t>Tubing, Pressure Pump</t>
  </si>
  <si>
    <t>ABW00007/K9801-60094</t>
  </si>
  <si>
    <t>152.4-157.4</t>
  </si>
  <si>
    <t>การตรวจสอบคุณภาพการบรรจุ</t>
  </si>
  <si>
    <t>รายละเอียดสติกเกอร์</t>
  </si>
  <si>
    <t>รายละเอียดบนสติกเกอร์</t>
  </si>
  <si>
    <t>ขนาดถุง</t>
  </si>
  <si>
    <t>จำนวนสายยาง/ ถุง</t>
  </si>
  <si>
    <t>ความยาวที่รับได้</t>
  </si>
  <si>
    <t>Tolerance</t>
  </si>
  <si>
    <t>ความยาวสายยางที่สามารถยอมรับได้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</si>
  <si>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</si>
  <si>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</si>
  <si>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P-96420-16-6</t>
  </si>
  <si>
    <t>S</t>
  </si>
  <si>
    <t>1 เส้น</t>
  </si>
  <si>
    <t>+5.00</t>
  </si>
  <si>
    <t/>
  </si>
  <si>
    <t xml:space="preserve">                 พนักงานตรวจสอบ </t>
  </si>
  <si>
    <t xml:space="preserve">บริษัท แวตสก้า จำกัด/ Vatska Company Limited
53/2 ต. อ้อมเกร็ด อ. ปากเกร็ด จ. นนทบุรี 11120/ 53/2 T. Om-Kred A. Pakkred 
Nonthaburi 11120 Thailand
โทร. +662 9244161 อีเมล: sales@vatska.com/ Tel: +662 9244161 E-mail: sales@vatska.com </t>
  </si>
  <si>
    <t xml:space="preserve">เอกสารตรวจสอบผลิตภัณฑ์ QC (Quality Control) </t>
  </si>
  <si>
    <t>Lot no</t>
  </si>
  <si>
    <t>MPN</t>
  </si>
  <si>
    <t>Children no.</t>
  </si>
  <si>
    <t>จำนวนถุงที่ผลิต</t>
  </si>
  <si>
    <t>QR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</si>
  <si>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</si>
  <si>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</si>
  <si>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</si>
  <si>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</si>
  <si>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</si>
  <si>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</si>
  <si>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</si>
  <si>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</si>
  <si>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</si>
  <si>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</si>
  <si>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</si>
  <si>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</si>
  <si>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</si>
  <si>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</si>
  <si>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</si>
  <si>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</si>
  <si>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</si>
  <si>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</si>
  <si>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</si>
  <si>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</si>
  <si>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</si>
  <si>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</si>
  <si>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</si>
  <si>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</si>
  <si>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</si>
  <si>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</si>
  <si>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</si>
  <si>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</si>
  <si>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</si>
  <si>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</si>
  <si>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</si>
  <si>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</si>
  <si>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</si>
  <si>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</si>
  <si>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</si>
  <si>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</si>
  <si>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</si>
  <si>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</si>
  <si>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</si>
  <si>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</si>
  <si>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</si>
  <si>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</si>
  <si>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</si>
  <si>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</si>
  <si>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</si>
  <si>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</si>
  <si>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</si>
  <si>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</si>
  <si>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</si>
  <si>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</si>
  <si>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</si>
  <si>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</si>
  <si>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</si>
  <si>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</si>
  <si>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</si>
  <si>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</si>
  <si>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</si>
  <si>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</si>
  <si>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</si>
  <si>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</si>
  <si>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</si>
  <si>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</si>
  <si>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</si>
  <si>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</si>
  <si>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</si>
  <si>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</si>
  <si>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</si>
  <si>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</si>
  <si>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</si>
  <si>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</si>
  <si>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</si>
  <si>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</si>
  <si>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</si>
  <si>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</si>
  <si>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</si>
  <si>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</si>
  <si>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</si>
  <si>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</si>
  <si>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</si>
  <si>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</si>
  <si>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</si>
  <si>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</si>
  <si>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</si>
  <si>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</si>
  <si>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</si>
  <si>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</si>
  <si>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</si>
  <si>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</si>
  <si>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</si>
  <si>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</si>
  <si>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</si>
  <si>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</si>
  <si>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</si>
  <si>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</si>
  <si>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</si>
  <si>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</si>
  <si>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</si>
  <si>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</si>
  <si>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</si>
  <si>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</si>
  <si>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</si>
  <si>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</si>
  <si>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</si>
  <si>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</si>
  <si>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</si>
  <si>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</si>
  <si>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</si>
  <si>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</si>
  <si>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11(K9801-60095)</t>
  </si>
  <si>
    <t>job 11</t>
  </si>
  <si>
    <t>12(K9801-60084)</t>
  </si>
  <si>
    <t>job 12</t>
  </si>
  <si>
    <t>304.8 -309.8</t>
  </si>
  <si>
    <t>job 13.1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</si>
  <si>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</si>
  <si>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</si>
  <si>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</si>
  <si>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</si>
  <si>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</si>
  <si>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</si>
  <si>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</si>
  <si>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</si>
  <si>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</si>
  <si>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</si>
  <si>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</si>
  <si>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</si>
  <si>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</si>
  <si>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</si>
  <si>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</si>
  <si>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</si>
  <si>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</si>
  <si>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</si>
  <si>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</si>
  <si>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</si>
  <si>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</si>
  <si>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</si>
  <si>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</si>
  <si>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</si>
  <si>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</si>
  <si>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</si>
  <si>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</si>
  <si>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CUSTOMER PO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</si>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</sst>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b/>
      <sz val="16"/>
      <color theme="1"/>
      <name val="Angsana New"/>
      <family val="1"/>
    </font>
    <font>
      <b/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/>
    <xf numFmtId="164" fontId="2" fillId="0" borderId="0"/>
  </cellStyleXfs>
  <cellXfs count="144">
    <xf numFmtId="0" fontId="0" fillId="0" borderId="0" xfId="0"/>
    <xf numFmtId="14" fontId="10" fillId="6" borderId="7" xfId="0" applyNumberFormat="1" applyFont="1" applyFill="1" applyBorder="1" applyProtection="1">
      <protection locked="0"/>
    </xf>
    <xf numFmtId="0" fontId="10" fillId="6" borderId="7" xfId="0" applyFont="1" applyFill="1" applyBorder="1" applyAlignment="1" applyProtection="1">
      <alignment horizontal="center"/>
      <protection locked="0"/>
    </xf>
    <xf numFmtId="0" fontId="7" fillId="6" borderId="7" xfId="0" applyFont="1" applyFill="1" applyBorder="1" applyProtection="1">
      <protection locked="0"/>
    </xf>
    <xf numFmtId="0" fontId="7" fillId="6" borderId="0" xfId="0" applyFont="1" applyFill="1" applyProtection="1">
      <protection locked="0"/>
    </xf>
    <xf numFmtId="0" fontId="7" fillId="6" borderId="0" xfId="0" applyFont="1" applyFill="1" applyAlignment="1" applyProtection="1">
      <alignment horizontal="center"/>
      <protection locked="0"/>
    </xf>
    <xf numFmtId="0" fontId="7" fillId="4" borderId="1" xfId="0" applyFont="1" applyFill="1" applyBorder="1" applyAlignment="1" applyProtection="1">
      <alignment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0" fillId="0" borderId="6" xfId="0" applyBorder="1" applyProtection="1">
      <protection locked="0"/>
    </xf>
    <xf numFmtId="0" fontId="7" fillId="4" borderId="1" xfId="0" applyFont="1" applyFill="1" applyBorder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top" wrapText="1"/>
    </xf>
    <xf numFmtId="0" fontId="0" fillId="0" borderId="0" xfId="0" applyProtection="1"/>
    <xf numFmtId="0" fontId="13" fillId="0" borderId="0" xfId="0" applyFont="1" applyProtection="1"/>
    <xf numFmtId="0" fontId="0" fillId="0" borderId="0" xfId="0" applyProtection="1"/>
    <xf numFmtId="0" fontId="14" fillId="0" borderId="0" xfId="0" applyFont="1" applyAlignment="1" applyProtection="1">
      <alignment horizontal="center" vertical="center"/>
    </xf>
    <xf numFmtId="0" fontId="7" fillId="0" borderId="0" xfId="0" applyFont="1" applyAlignment="1" applyProtection="1">
      <alignment horizontal="left" vertical="center"/>
    </xf>
    <xf numFmtId="0" fontId="7" fillId="0" borderId="0" xfId="0" applyFont="1" applyAlignment="1" applyProtection="1">
      <alignment horizontal="left" vertical="center"/>
    </xf>
    <xf numFmtId="0" fontId="7" fillId="0" borderId="0" xfId="0" applyFont="1" applyAlignment="1" applyProtection="1">
      <alignment horizontal="center" vertical="center"/>
    </xf>
    <xf numFmtId="0" fontId="7" fillId="0" borderId="0" xfId="0" applyFont="1" applyAlignment="1" applyProtection="1">
      <alignment horizontal="center" vertical="center"/>
    </xf>
    <xf numFmtId="0" fontId="15" fillId="0" borderId="0" xfId="0" applyFont="1" applyAlignment="1" applyProtection="1">
      <alignment horizontal="left" vertical="center"/>
    </xf>
    <xf numFmtId="0" fontId="7" fillId="0" borderId="7" xfId="0" applyFont="1" applyBorder="1" applyProtection="1"/>
    <xf numFmtId="0" fontId="7" fillId="0" borderId="0" xfId="0" applyFont="1" applyProtection="1"/>
    <xf numFmtId="0" fontId="7" fillId="2" borderId="0" xfId="0" applyFont="1" applyFill="1" applyAlignment="1" applyProtection="1">
      <alignment horizontal="center"/>
    </xf>
    <xf numFmtId="0" fontId="7" fillId="2" borderId="0" xfId="0" applyFont="1" applyFill="1" applyAlignment="1" applyProtection="1">
      <alignment horizontal="left"/>
    </xf>
    <xf numFmtId="0" fontId="7" fillId="2" borderId="0" xfId="0" applyFont="1" applyFill="1" applyAlignment="1" applyProtection="1">
      <alignment horizontal="center"/>
    </xf>
    <xf numFmtId="0" fontId="7" fillId="0" borderId="0" xfId="0" applyFont="1" applyAlignment="1" applyProtection="1">
      <alignment horizontal="left"/>
    </xf>
    <xf numFmtId="0" fontId="7" fillId="2" borderId="0" xfId="0" applyFont="1" applyFill="1" applyAlignment="1" applyProtection="1">
      <alignment horizontal="left" vertical="center"/>
    </xf>
    <xf numFmtId="0" fontId="7" fillId="2" borderId="0" xfId="0" applyFont="1" applyFill="1" applyProtection="1"/>
    <xf numFmtId="0" fontId="7" fillId="2" borderId="0" xfId="0" applyFont="1" applyFill="1" applyAlignment="1" applyProtection="1">
      <alignment horizontal="center" vertical="center"/>
    </xf>
    <xf numFmtId="0" fontId="7" fillId="0" borderId="7" xfId="0" applyFont="1" applyBorder="1" applyAlignment="1" applyProtection="1">
      <alignment horizontal="center" vertical="center"/>
    </xf>
    <xf numFmtId="0" fontId="16" fillId="5" borderId="0" xfId="0" applyFont="1" applyFill="1" applyAlignment="1" applyProtection="1">
      <alignment horizontal="center" vertical="center"/>
    </xf>
    <xf numFmtId="0" fontId="0" fillId="0" borderId="7" xfId="0" applyBorder="1" applyProtection="1"/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wrapText="1"/>
    </xf>
    <xf numFmtId="0" fontId="0" fillId="0" borderId="4" xfId="0" applyBorder="1" applyProtection="1"/>
    <xf numFmtId="0" fontId="0" fillId="0" borderId="5" xfId="0" applyBorder="1" applyProtection="1"/>
    <xf numFmtId="0" fontId="3" fillId="0" borderId="1" xfId="0" applyFont="1" applyBorder="1" applyAlignment="1" applyProtection="1">
      <alignment horizontal="center"/>
    </xf>
    <xf numFmtId="0" fontId="0" fillId="0" borderId="6" xfId="0" applyBorder="1" applyProtection="1"/>
    <xf numFmtId="0" fontId="0" fillId="0" borderId="9" xfId="0" applyBorder="1" applyProtection="1"/>
    <xf numFmtId="0" fontId="0" fillId="0" borderId="8" xfId="0" applyBorder="1" applyProtection="1"/>
    <xf numFmtId="0" fontId="15" fillId="2" borderId="1" xfId="0" applyFont="1" applyFill="1" applyBorder="1" applyAlignment="1" applyProtection="1">
      <alignment horizontal="center" vertical="center"/>
    </xf>
    <xf numFmtId="0" fontId="15" fillId="0" borderId="13" xfId="0" applyFont="1" applyBorder="1" applyAlignment="1" applyProtection="1">
      <alignment horizontal="left" vertical="center" wrapText="1"/>
    </xf>
    <xf numFmtId="0" fontId="15" fillId="0" borderId="1" xfId="0" applyFont="1" applyBorder="1" applyAlignment="1" applyProtection="1">
      <alignment horizontal="center"/>
    </xf>
    <xf numFmtId="0" fontId="0" fillId="0" borderId="11" xfId="0" applyBorder="1" applyProtection="1"/>
    <xf numFmtId="0" fontId="0" fillId="0" borderId="13" xfId="0" applyBorder="1" applyProtection="1"/>
    <xf numFmtId="0" fontId="15" fillId="0" borderId="0" xfId="0" applyFont="1" applyProtection="1"/>
    <xf numFmtId="0" fontId="0" fillId="0" borderId="3" xfId="0" applyBorder="1" applyProtection="1"/>
    <xf numFmtId="0" fontId="15" fillId="0" borderId="1" xfId="0" applyFont="1" applyBorder="1" applyAlignment="1" applyProtection="1">
      <alignment horizontal="center" vertical="center"/>
    </xf>
    <xf numFmtId="0" fontId="15" fillId="0" borderId="1" xfId="0" applyFont="1" applyBorder="1" applyAlignment="1" applyProtection="1">
      <alignment horizontal="left" vertical="center" wrapText="1"/>
    </xf>
    <xf numFmtId="0" fontId="7" fillId="0" borderId="0" xfId="0" applyFont="1" applyAlignment="1" applyProtection="1">
      <alignment horizontal="center"/>
    </xf>
    <xf numFmtId="0" fontId="7" fillId="0" borderId="0" xfId="0" applyFont="1" applyAlignment="1" applyProtection="1">
      <alignment horizontal="center"/>
    </xf>
    <xf numFmtId="0" fontId="18" fillId="0" borderId="0" xfId="0" applyFont="1" applyAlignment="1" applyProtection="1">
      <alignment horizontal="center"/>
    </xf>
    <xf numFmtId="0" fontId="18" fillId="0" borderId="0" xfId="0" applyFont="1" applyAlignment="1" applyProtection="1">
      <alignment horizontal="center"/>
    </xf>
    <xf numFmtId="0" fontId="18" fillId="0" borderId="0" xfId="0" applyFont="1" applyProtection="1"/>
    <xf numFmtId="165" fontId="7" fillId="0" borderId="0" xfId="3" applyNumberFormat="1" applyFont="1" applyAlignment="1" applyProtection="1">
      <alignment horizontal="center" vertical="center"/>
    </xf>
    <xf numFmtId="0" fontId="7" fillId="0" borderId="0" xfId="0" applyFont="1" applyAlignment="1" applyProtection="1">
      <alignment vertical="center"/>
    </xf>
    <xf numFmtId="0" fontId="17" fillId="0" borderId="1" xfId="0" applyFont="1" applyBorder="1" applyAlignment="1" applyProtection="1">
      <alignment horizontal="center"/>
    </xf>
    <xf numFmtId="0" fontId="18" fillId="0" borderId="1" xfId="0" applyFont="1" applyBorder="1" applyAlignment="1" applyProtection="1">
      <alignment horizontal="left"/>
    </xf>
    <xf numFmtId="0" fontId="18" fillId="0" borderId="1" xfId="0" applyFont="1" applyBorder="1" applyAlignment="1" applyProtection="1">
      <alignment horizontal="center" wrapText="1"/>
    </xf>
    <xf numFmtId="0" fontId="18" fillId="0" borderId="1" xfId="0" applyFont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 wrapText="1"/>
    </xf>
    <xf numFmtId="0" fontId="7" fillId="0" borderId="1" xfId="0" applyFont="1" applyBorder="1" applyAlignment="1" applyProtection="1">
      <alignment horizontal="center"/>
    </xf>
    <xf numFmtId="0" fontId="7" fillId="0" borderId="13" xfId="0" applyFont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 wrapText="1"/>
    </xf>
    <xf numFmtId="0" fontId="7" fillId="2" borderId="1" xfId="0" applyFont="1" applyFill="1" applyBorder="1" applyAlignment="1" applyProtection="1">
      <alignment horizontal="center" vertical="center"/>
    </xf>
    <xf numFmtId="0" fontId="7" fillId="2" borderId="1" xfId="0" applyFont="1" applyFill="1" applyBorder="1" applyAlignment="1" applyProtection="1">
      <alignment horizontal="center"/>
    </xf>
    <xf numFmtId="0" fontId="8" fillId="2" borderId="13" xfId="0" applyFont="1" applyFill="1" applyBorder="1" applyAlignment="1" applyProtection="1">
      <alignment horizontal="center" vertical="center" wrapText="1"/>
    </xf>
    <xf numFmtId="0" fontId="0" fillId="0" borderId="14" xfId="0" applyBorder="1" applyProtection="1"/>
    <xf numFmtId="0" fontId="8" fillId="2" borderId="13" xfId="0" applyFont="1" applyFill="1" applyBorder="1" applyAlignment="1" applyProtection="1">
      <alignment horizontal="center" vertical="top" wrapText="1"/>
    </xf>
    <xf numFmtId="0" fontId="19" fillId="2" borderId="1" xfId="0" applyFont="1" applyFill="1" applyBorder="1" applyAlignment="1" applyProtection="1">
      <alignment horizontal="center" vertical="center" wrapText="1"/>
    </xf>
    <xf numFmtId="0" fontId="19" fillId="2" borderId="1" xfId="0" applyFont="1" applyFill="1" applyBorder="1" applyAlignment="1" applyProtection="1">
      <alignment horizontal="center" vertical="top" wrapText="1"/>
    </xf>
    <xf numFmtId="0" fontId="7" fillId="2" borderId="1" xfId="0" quotePrefix="1" applyFont="1" applyFill="1" applyBorder="1" applyAlignment="1" applyProtection="1">
      <alignment horizontal="center"/>
    </xf>
    <xf numFmtId="0" fontId="9" fillId="2" borderId="1" xfId="0" applyFont="1" applyFill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 vertical="center"/>
    </xf>
    <xf numFmtId="0" fontId="20" fillId="2" borderId="1" xfId="0" applyFont="1" applyFill="1" applyBorder="1" applyAlignment="1" applyProtection="1">
      <alignment horizontal="center" vertical="center" wrapText="1"/>
    </xf>
    <xf numFmtId="0" fontId="7" fillId="0" borderId="4" xfId="0" applyFont="1" applyBorder="1" applyAlignment="1" applyProtection="1">
      <alignment horizontal="center"/>
    </xf>
    <xf numFmtId="0" fontId="21" fillId="0" borderId="0" xfId="0" applyFont="1" applyAlignment="1" applyProtection="1">
      <alignment horizontal="center"/>
    </xf>
    <xf numFmtId="0" fontId="21" fillId="0" borderId="0" xfId="0" applyFont="1" applyProtection="1"/>
    <xf numFmtId="0" fontId="0" fillId="0" borderId="0" xfId="0" applyAlignment="1" applyProtection="1">
      <alignment horizontal="center"/>
    </xf>
    <xf numFmtId="0" fontId="11" fillId="0" borderId="0" xfId="0" applyFont="1" applyAlignment="1" applyProtection="1">
      <alignment horizontal="center" vertical="top" wrapText="1"/>
    </xf>
    <xf numFmtId="0" fontId="4" fillId="0" borderId="0" xfId="0" applyFont="1" applyProtection="1"/>
    <xf numFmtId="0" fontId="5" fillId="0" borderId="0" xfId="0" applyFont="1" applyProtection="1"/>
    <xf numFmtId="0" fontId="6" fillId="0" borderId="0" xfId="0" applyFont="1" applyProtection="1"/>
    <xf numFmtId="0" fontId="10" fillId="6" borderId="7" xfId="0" applyFont="1" applyFill="1" applyBorder="1" applyAlignment="1" applyProtection="1">
      <alignment horizontal="center"/>
    </xf>
    <xf numFmtId="0" fontId="10" fillId="2" borderId="0" xfId="0" applyFont="1" applyFill="1" applyBorder="1" applyProtection="1"/>
    <xf numFmtId="0" fontId="19" fillId="2" borderId="0" xfId="0" applyFont="1" applyFill="1" applyAlignment="1" applyProtection="1">
      <alignment horizontal="left" vertical="center"/>
    </xf>
    <xf numFmtId="165" fontId="7" fillId="2" borderId="0" xfId="3" applyNumberFormat="1" applyFont="1" applyFill="1" applyBorder="1" applyAlignment="1" applyProtection="1">
      <alignment horizontal="center" vertical="center"/>
    </xf>
    <xf numFmtId="0" fontId="22" fillId="2" borderId="0" xfId="0" applyFont="1" applyFill="1" applyProtection="1"/>
    <xf numFmtId="0" fontId="7" fillId="2" borderId="0" xfId="0" applyFont="1" applyFill="1" applyBorder="1" applyAlignment="1" applyProtection="1">
      <alignment horizontal="center"/>
    </xf>
    <xf numFmtId="0" fontId="7" fillId="4" borderId="0" xfId="0" applyFont="1" applyFill="1" applyAlignment="1" applyProtection="1">
      <alignment vertical="center"/>
    </xf>
    <xf numFmtId="0" fontId="7" fillId="4" borderId="0" xfId="0" applyFont="1" applyFill="1" applyAlignment="1" applyProtection="1">
      <alignment horizontal="center" vertical="center"/>
    </xf>
    <xf numFmtId="0" fontId="3" fillId="0" borderId="0" xfId="0" applyFont="1" applyAlignment="1" applyProtection="1">
      <alignment horizontal="left" vertical="center"/>
    </xf>
    <xf numFmtId="0" fontId="23" fillId="0" borderId="1" xfId="0" applyFont="1" applyBorder="1" applyAlignment="1" applyProtection="1">
      <alignment horizontal="center" vertical="center"/>
    </xf>
    <xf numFmtId="0" fontId="22" fillId="0" borderId="1" xfId="0" applyFont="1" applyBorder="1" applyAlignment="1" applyProtection="1">
      <alignment horizontal="center" vertical="center" wrapText="1"/>
    </xf>
    <xf numFmtId="0" fontId="23" fillId="0" borderId="12" xfId="0" applyFont="1" applyBorder="1" applyAlignment="1" applyProtection="1">
      <alignment horizontal="center" vertical="center" wrapText="1"/>
    </xf>
    <xf numFmtId="0" fontId="23" fillId="0" borderId="1" xfId="0" applyFont="1" applyBorder="1" applyAlignment="1" applyProtection="1">
      <alignment horizontal="center" vertical="center" wrapText="1"/>
    </xf>
    <xf numFmtId="0" fontId="23" fillId="0" borderId="2" xfId="0" applyFont="1" applyBorder="1" applyAlignment="1" applyProtection="1">
      <alignment horizontal="right" vertical="center" wrapText="1"/>
    </xf>
    <xf numFmtId="0" fontId="23" fillId="0" borderId="0" xfId="0" applyFont="1" applyAlignment="1" applyProtection="1">
      <alignment vertical="center"/>
    </xf>
    <xf numFmtId="0" fontId="23" fillId="0" borderId="0" xfId="0" applyFont="1" applyAlignment="1" applyProtection="1">
      <alignment horizontal="center" vertical="center"/>
    </xf>
    <xf numFmtId="0" fontId="22" fillId="0" borderId="0" xfId="0" applyFont="1" applyAlignment="1" applyProtection="1">
      <alignment vertical="center"/>
    </xf>
    <xf numFmtId="0" fontId="8" fillId="2" borderId="2" xfId="0" applyFont="1" applyFill="1" applyBorder="1" applyAlignment="1" applyProtection="1">
      <alignment horizontal="center" vertical="center"/>
    </xf>
    <xf numFmtId="0" fontId="7" fillId="4" borderId="1" xfId="0" applyFont="1" applyFill="1" applyBorder="1" applyAlignment="1" applyProtection="1">
      <alignment horizontal="left" vertical="center"/>
    </xf>
    <xf numFmtId="0" fontId="7" fillId="4" borderId="1" xfId="0" applyFont="1" applyFill="1" applyBorder="1" applyAlignment="1" applyProtection="1">
      <alignment vertical="center"/>
    </xf>
    <xf numFmtId="0" fontId="7" fillId="4" borderId="1" xfId="0" applyFont="1" applyFill="1" applyBorder="1" applyAlignment="1" applyProtection="1">
      <alignment horizontal="center" vertical="center"/>
    </xf>
    <xf numFmtId="164" fontId="7" fillId="2" borderId="1" xfId="3" applyFont="1" applyFill="1" applyBorder="1" applyAlignment="1" applyProtection="1">
      <alignment horizontal="right" vertical="center"/>
    </xf>
    <xf numFmtId="164" fontId="7" fillId="3" borderId="1" xfId="0" applyNumberFormat="1" applyFont="1" applyFill="1" applyBorder="1" applyAlignment="1" applyProtection="1">
      <alignment vertical="center"/>
    </xf>
    <xf numFmtId="0" fontId="7" fillId="0" borderId="1" xfId="0" applyFont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vertical="center"/>
    </xf>
    <xf numFmtId="0" fontId="3" fillId="0" borderId="0" xfId="0" applyFont="1" applyProtection="1"/>
    <xf numFmtId="0" fontId="3" fillId="0" borderId="0" xfId="0" applyFont="1" applyAlignment="1" applyProtection="1">
      <alignment horizontal="left"/>
    </xf>
    <xf numFmtId="0" fontId="23" fillId="0" borderId="1" xfId="0" applyFont="1" applyBorder="1" applyAlignment="1" applyProtection="1">
      <alignment horizontal="center" vertical="center"/>
    </xf>
    <xf numFmtId="0" fontId="23" fillId="0" borderId="1" xfId="0" applyFont="1" applyBorder="1" applyAlignment="1" applyProtection="1">
      <alignment horizontal="right" vertical="center" wrapText="1"/>
    </xf>
    <xf numFmtId="0" fontId="22" fillId="0" borderId="0" xfId="0" applyFont="1" applyProtection="1"/>
    <xf numFmtId="0" fontId="23" fillId="0" borderId="1" xfId="0" applyFont="1" applyBorder="1" applyAlignment="1" applyProtection="1">
      <alignment horizontal="center" vertical="center" wrapText="1"/>
    </xf>
    <xf numFmtId="0" fontId="23" fillId="0" borderId="12" xfId="0" applyFont="1" applyBorder="1" applyAlignment="1" applyProtection="1">
      <alignment horizontal="center" vertical="center" wrapText="1"/>
    </xf>
    <xf numFmtId="0" fontId="8" fillId="2" borderId="1" xfId="0" applyFont="1" applyFill="1" applyBorder="1" applyAlignment="1" applyProtection="1">
      <alignment horizontal="center" vertical="center"/>
    </xf>
    <xf numFmtId="0" fontId="9" fillId="4" borderId="1" xfId="0" applyFont="1" applyFill="1" applyBorder="1" applyAlignment="1" applyProtection="1">
      <alignment horizontal="center" vertical="center"/>
    </xf>
    <xf numFmtId="0" fontId="7" fillId="3" borderId="1" xfId="0" applyFont="1" applyFill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right" vertical="center"/>
    </xf>
    <xf numFmtId="0" fontId="7" fillId="0" borderId="12" xfId="0" applyFont="1" applyBorder="1" applyAlignment="1" applyProtection="1">
      <alignment horizontal="right" vertical="center"/>
    </xf>
    <xf numFmtId="0" fontId="7" fillId="0" borderId="0" xfId="0" applyFont="1" applyAlignment="1" applyProtection="1">
      <alignment horizontal="right" vertical="center"/>
    </xf>
    <xf numFmtId="0" fontId="3" fillId="0" borderId="12" xfId="0" applyFont="1" applyBorder="1" applyAlignment="1" applyProtection="1">
      <alignment horizontal="center" vertical="center" wrapText="1"/>
    </xf>
    <xf numFmtId="0" fontId="3" fillId="0" borderId="4" xfId="0" applyFont="1" applyBorder="1" applyAlignment="1" applyProtection="1">
      <alignment vertical="center"/>
    </xf>
    <xf numFmtId="0" fontId="3" fillId="0" borderId="1" xfId="0" applyFont="1" applyBorder="1" applyAlignment="1" applyProtection="1">
      <alignment horizontal="center" vertical="center" wrapText="1"/>
    </xf>
    <xf numFmtId="0" fontId="3" fillId="0" borderId="0" xfId="0" applyFont="1" applyAlignment="1" applyProtection="1">
      <alignment vertical="center"/>
    </xf>
    <xf numFmtId="0" fontId="0" fillId="0" borderId="10" xfId="0" applyBorder="1" applyProtection="1"/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</xf>
    <xf numFmtId="0" fontId="8" fillId="2" borderId="11" xfId="0" applyFont="1" applyFill="1" applyBorder="1" applyAlignment="1" applyProtection="1">
      <alignment horizontal="center" vertical="center"/>
    </xf>
    <xf numFmtId="0" fontId="8" fillId="2" borderId="1" xfId="0" applyFont="1" applyFill="1" applyBorder="1" applyAlignment="1" applyProtection="1">
      <alignment horizontal="left" vertical="center"/>
    </xf>
    <xf numFmtId="0" fontId="7" fillId="2" borderId="1" xfId="0" applyFont="1" applyFill="1" applyBorder="1" applyAlignment="1" applyProtection="1">
      <alignment vertical="center"/>
    </xf>
    <xf numFmtId="0" fontId="7" fillId="2" borderId="11" xfId="0" applyFont="1" applyFill="1" applyBorder="1" applyAlignment="1" applyProtection="1">
      <alignment horizontal="center" vertical="center"/>
    </xf>
    <xf numFmtId="0" fontId="9" fillId="2" borderId="1" xfId="0" applyFont="1" applyFill="1" applyBorder="1" applyAlignment="1" applyProtection="1">
      <alignment vertical="center"/>
    </xf>
    <xf numFmtId="0" fontId="7" fillId="2" borderId="1" xfId="0" quotePrefix="1" applyFont="1" applyFill="1" applyBorder="1" applyAlignment="1" applyProtection="1">
      <alignment vertical="center"/>
    </xf>
    <xf numFmtId="0" fontId="7" fillId="2" borderId="0" xfId="0" applyFont="1" applyFill="1" applyAlignment="1" applyProtection="1">
      <alignment vertical="center"/>
    </xf>
    <xf numFmtId="0" fontId="7" fillId="0" borderId="7" xfId="0" applyFont="1" applyBorder="1" applyAlignment="1" applyProtection="1">
      <alignment vertical="center"/>
    </xf>
    <xf numFmtId="0" fontId="7" fillId="0" borderId="7" xfId="0" applyFont="1" applyBorder="1" applyAlignment="1" applyProtection="1">
      <alignment horizontal="center" vertical="center"/>
    </xf>
    <xf numFmtId="0" fontId="8" fillId="2" borderId="0" xfId="0" applyFont="1" applyFill="1" applyAlignment="1" applyProtection="1">
      <alignment horizontal="center" vertical="center"/>
    </xf>
    <xf numFmtId="0" fontId="7" fillId="2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vertical="center"/>
    </xf>
    <xf numFmtId="0" fontId="4" fillId="0" borderId="0" xfId="0" applyFont="1" applyAlignment="1" applyProtection="1">
      <alignment horizontal="center"/>
    </xf>
  </cellXfs>
  <cellStyles count="4">
    <cellStyle name="Comma" xfId="3" builtinId="3"/>
    <cellStyle name="Comma 2" xfId="2" xr:uid="{00000000-0005-0000-0000-000002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1287145</xdr:colOff>
      <xdr:row>4</xdr:row>
      <xdr:rowOff>26669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204788</xdr:colOff>
      <xdr:row>1</xdr:row>
      <xdr:rowOff>0</xdr:rowOff>
    </xdr:from>
    <xdr:to>
      <xdr:col>1</xdr:col>
      <xdr:colOff>849154</xdr:colOff>
      <xdr:row>4</xdr:row>
      <xdr:rowOff>139065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76313" y="190500"/>
          <a:ext cx="640556" cy="71437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9"/>
  <sheetViews>
    <sheetView topLeftCell="A10" workbookViewId="0">
      <selection activeCell="B30" activeCellId="7" sqref="M9 M8 M7 F7 B7 C17 D17 B30:B37"/>
    </sheetView>
  </sheetViews>
  <sheetFormatPr defaultColWidth="8.77734375" defaultRowHeight="11.4"/>
  <cols>
    <col min="1" max="1" width="8.77734375" style="143" customWidth="1"/>
    <col min="2" max="2" width="21.21875" style="83" customWidth="1"/>
    <col min="3" max="3" width="26.77734375" style="83" customWidth="1"/>
    <col min="4" max="4" width="12.77734375" style="143" customWidth="1"/>
    <col min="5" max="5" width="14.88671875" style="143" hidden="1" customWidth="1"/>
    <col min="6" max="6" width="12.77734375" style="143" customWidth="1"/>
    <col min="7" max="7" width="14.77734375" style="83" customWidth="1"/>
    <col min="8" max="8" width="11.77734375" style="83" customWidth="1"/>
    <col min="9" max="9" width="12.77734375" style="83" customWidth="1"/>
    <col min="10" max="10" width="12.77734375" style="143" customWidth="1"/>
    <col min="11" max="11" width="14.77734375" style="143" customWidth="1"/>
    <col min="12" max="13" width="8.77734375" style="83" customWidth="1"/>
    <col min="14" max="15" width="13.77734375" style="143" customWidth="1"/>
    <col min="16" max="16" width="8.77734375" style="83" customWidth="1"/>
    <col min="17" max="16384" width="8.77734375" style="83"/>
  </cols>
  <sheetData>
    <row r="1" spans="1:15" ht="23.25" customHeight="1">
      <c r="A1" s="8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4"/>
    </row>
    <row r="2" spans="1:15" ht="11.7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4"/>
    </row>
    <row r="3" spans="1:15" ht="11.7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4"/>
    </row>
    <row r="4" spans="1:15" ht="11.7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4"/>
    </row>
    <row r="5" spans="1:15" ht="11.7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4"/>
    </row>
    <row r="6" spans="1:15" ht="22.8" customHeight="1">
      <c r="A6" s="84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85"/>
      <c r="O6" s="85" t="s">
        <v>2</v>
      </c>
    </row>
    <row r="7" spans="1:15" s="22" customFormat="1" ht="21" customHeight="1">
      <c r="A7" s="50" t="s">
        <v>3</v>
      </c>
      <c r="B7" s="1">
        <v>46242</v>
      </c>
      <c r="C7" s="21"/>
      <c r="D7" s="50" t="s">
        <v>4</v>
      </c>
      <c r="E7" s="50"/>
      <c r="F7" s="2" t="s">
        <v>5</v>
      </c>
      <c r="G7" s="86"/>
      <c r="H7" s="14"/>
      <c r="I7" s="14"/>
      <c r="J7" s="50"/>
      <c r="K7" s="22" t="s">
        <v>6</v>
      </c>
      <c r="L7" s="21" t="s">
        <v>7</v>
      </c>
      <c r="M7" s="3" t="s">
        <v>5</v>
      </c>
      <c r="N7" s="87"/>
      <c r="O7" s="50"/>
    </row>
    <row r="8" spans="1:15" s="22" customFormat="1" ht="21" customHeight="1">
      <c r="A8" s="50" t="s">
        <v>8</v>
      </c>
      <c r="B8" s="22" t="s">
        <v>9</v>
      </c>
      <c r="C8" s="14"/>
      <c r="D8" s="50" t="s">
        <v>10</v>
      </c>
      <c r="E8" s="50"/>
      <c r="F8" s="88" t="s">
        <v>11</v>
      </c>
      <c r="G8" s="14"/>
      <c r="H8" s="14"/>
      <c r="I8" s="14"/>
      <c r="J8" s="50"/>
      <c r="K8" s="22" t="s">
        <v>12</v>
      </c>
      <c r="L8" s="14"/>
      <c r="M8" s="4">
        <v>2000</v>
      </c>
      <c r="N8" s="89"/>
      <c r="O8" s="50"/>
    </row>
    <row r="9" spans="1:15" s="22" customFormat="1" ht="21" customHeight="1">
      <c r="A9" s="50" t="s">
        <v>13</v>
      </c>
      <c r="B9" s="22" t="s">
        <v>14</v>
      </c>
      <c r="C9" s="14"/>
      <c r="D9" s="22" t="s">
        <v>15</v>
      </c>
      <c r="E9" s="50"/>
      <c r="F9" s="90" t="s">
        <v>16</v>
      </c>
      <c r="G9" s="14"/>
      <c r="H9" s="14"/>
      <c r="I9" s="14"/>
      <c r="J9" s="50"/>
      <c r="K9" s="50" t="s">
        <v>17</v>
      </c>
      <c r="L9" s="14"/>
      <c r="M9" s="5" t="s">
        <v>18</v>
      </c>
      <c r="N9" s="91"/>
      <c r="O9" s="50"/>
    </row>
    <row r="10" spans="1:15" s="56" customFormat="1" ht="21" customHeight="1">
      <c r="A10" s="18"/>
      <c r="B10" s="14"/>
      <c r="C10" s="14"/>
      <c r="D10" s="18"/>
      <c r="E10" s="18"/>
      <c r="F10" s="18"/>
      <c r="G10" s="14"/>
      <c r="H10" s="14"/>
      <c r="I10" s="14"/>
      <c r="J10" s="18"/>
      <c r="K10" s="18"/>
      <c r="L10" s="14"/>
      <c r="M10" s="14"/>
      <c r="N10" s="18"/>
      <c r="O10" s="18"/>
    </row>
    <row r="11" spans="1:15" s="56" customFormat="1" ht="21" customHeight="1">
      <c r="A11" s="18"/>
      <c r="B11" s="92" t="s">
        <v>19</v>
      </c>
      <c r="C11" s="92" t="s">
        <v>20</v>
      </c>
      <c r="D11" s="93"/>
      <c r="E11" s="18"/>
      <c r="F11" s="18"/>
      <c r="G11" s="14"/>
      <c r="H11" s="14"/>
      <c r="I11" s="14"/>
      <c r="J11" s="18"/>
      <c r="K11" s="50"/>
      <c r="L11" s="14"/>
      <c r="M11" s="14"/>
      <c r="N11" s="14"/>
      <c r="O11" s="14"/>
    </row>
    <row r="12" spans="1:15" s="56" customFormat="1" ht="21" customHeight="1">
      <c r="A12" s="18"/>
      <c r="B12" s="14"/>
      <c r="C12" s="14"/>
      <c r="D12" s="18"/>
      <c r="E12" s="18"/>
      <c r="F12" s="18"/>
      <c r="G12" s="14"/>
      <c r="H12" s="14"/>
      <c r="I12" s="14"/>
      <c r="J12" s="18"/>
      <c r="K12" s="50"/>
      <c r="L12" s="18"/>
      <c r="M12" s="18"/>
      <c r="N12" s="18"/>
      <c r="O12" s="18"/>
    </row>
    <row r="13" spans="1:15" s="56" customFormat="1" ht="21" customHeight="1">
      <c r="A13" s="94" t="s">
        <v>21</v>
      </c>
      <c r="B13" s="14"/>
      <c r="C13" s="14"/>
      <c r="D13" s="18"/>
      <c r="E13" s="18"/>
      <c r="F13" s="18"/>
      <c r="G13" s="14"/>
      <c r="H13" s="14"/>
      <c r="I13" s="14"/>
      <c r="J13" s="18"/>
      <c r="K13" s="50"/>
      <c r="L13" s="22"/>
      <c r="M13" s="14"/>
      <c r="N13" s="18"/>
      <c r="O13" s="18"/>
    </row>
    <row r="14" spans="1:15" s="56" customFormat="1" ht="21" customHeight="1">
      <c r="A14" s="18"/>
      <c r="B14" s="14"/>
      <c r="C14" s="14"/>
      <c r="D14" s="18"/>
      <c r="E14" s="18"/>
      <c r="F14" s="18"/>
      <c r="G14" s="14"/>
      <c r="H14" s="14"/>
      <c r="I14" s="14"/>
      <c r="J14" s="18"/>
      <c r="K14" s="50"/>
      <c r="L14" s="22"/>
      <c r="M14" s="14"/>
      <c r="N14" s="18"/>
      <c r="O14" s="18"/>
    </row>
    <row r="15" spans="1:15" s="102" customFormat="1" ht="21" customHeight="1">
      <c r="A15" s="95" t="s">
        <v>22</v>
      </c>
      <c r="B15" s="95" t="s">
        <v>23</v>
      </c>
      <c r="C15" s="95" t="s">
        <v>24</v>
      </c>
      <c r="D15" s="95" t="s">
        <v>25</v>
      </c>
      <c r="E15" s="96" t="s">
        <v>26</v>
      </c>
      <c r="F15" s="97" t="s">
        <v>27</v>
      </c>
      <c r="G15" s="98" t="s">
        <v>26</v>
      </c>
      <c r="H15" s="99" t="s">
        <v>28</v>
      </c>
      <c r="I15" s="14"/>
      <c r="J15" s="100"/>
      <c r="K15" s="101"/>
      <c r="L15" s="14"/>
      <c r="M15" s="14"/>
      <c r="N15" s="14"/>
      <c r="O15" s="14"/>
    </row>
    <row r="16" spans="1:15" s="102" customFormat="1" ht="21" customHeight="1">
      <c r="A16" s="38"/>
      <c r="B16" s="38"/>
      <c r="C16" s="38"/>
      <c r="D16" s="38"/>
      <c r="E16" s="38"/>
      <c r="F16" s="39"/>
      <c r="G16" s="38"/>
      <c r="H16" s="47"/>
      <c r="I16" s="14"/>
      <c r="J16" s="100"/>
      <c r="K16" s="12"/>
      <c r="L16" s="14"/>
      <c r="M16" s="14"/>
      <c r="N16" s="14"/>
      <c r="O16" s="14"/>
    </row>
    <row r="17" spans="1:15" s="56" customFormat="1" ht="21" customHeight="1">
      <c r="A17" s="103">
        <v>1</v>
      </c>
      <c r="B17" s="104" t="s">
        <v>29</v>
      </c>
      <c r="C17" s="6" t="s">
        <v>30</v>
      </c>
      <c r="D17" s="7">
        <v>1</v>
      </c>
      <c r="E17" s="107">
        <f>D17*N8*(I44+J44)</f>
        <v>0</v>
      </c>
      <c r="F17" s="76">
        <v>50</v>
      </c>
      <c r="G17" s="108">
        <f>E17</f>
        <v>0</v>
      </c>
      <c r="H17" s="108">
        <f>G17*0.00328/F17</f>
        <v>0</v>
      </c>
      <c r="I17" s="14"/>
      <c r="J17" s="14"/>
      <c r="K17" s="31"/>
      <c r="L17" s="22"/>
      <c r="M17" s="14"/>
      <c r="N17" s="14"/>
      <c r="O17" s="14"/>
    </row>
    <row r="18" spans="1:15" s="56" customFormat="1" ht="21" customHeight="1">
      <c r="A18" s="109">
        <v>2</v>
      </c>
      <c r="B18" s="110" t="s">
        <v>31</v>
      </c>
      <c r="C18" s="110"/>
      <c r="D18" s="109"/>
      <c r="E18" s="109"/>
      <c r="F18" s="109"/>
      <c r="G18" s="110"/>
      <c r="H18" s="110"/>
      <c r="I18" s="14"/>
      <c r="J18" s="18"/>
      <c r="K18" s="12"/>
      <c r="L18" s="22"/>
      <c r="M18" s="14"/>
      <c r="N18" s="18"/>
      <c r="O18" s="18"/>
    </row>
    <row r="19" spans="1:15" s="56" customFormat="1" ht="21" customHeight="1">
      <c r="A19" s="109">
        <v>3</v>
      </c>
      <c r="B19" s="110" t="s">
        <v>32</v>
      </c>
      <c r="C19" s="110"/>
      <c r="D19" s="109" t="s">
        <v>33</v>
      </c>
      <c r="E19" s="109"/>
      <c r="F19" s="109"/>
      <c r="G19" s="110"/>
      <c r="H19" s="110"/>
      <c r="I19" s="14"/>
      <c r="J19" s="18"/>
      <c r="K19" s="111"/>
      <c r="L19" s="22"/>
      <c r="M19" s="14"/>
      <c r="N19" s="18"/>
      <c r="O19" s="18"/>
    </row>
    <row r="20" spans="1:15" s="56" customFormat="1" ht="21" customHeight="1">
      <c r="A20" s="109">
        <v>4</v>
      </c>
      <c r="B20" s="110" t="s">
        <v>34</v>
      </c>
      <c r="C20" s="110"/>
      <c r="D20" s="109" t="s">
        <v>35</v>
      </c>
      <c r="E20" s="109"/>
      <c r="F20" s="109"/>
      <c r="G20" s="110"/>
      <c r="H20" s="110"/>
      <c r="I20" s="14"/>
      <c r="J20" s="18"/>
      <c r="K20" s="111"/>
      <c r="L20" s="22"/>
      <c r="M20" s="14"/>
      <c r="N20" s="18"/>
      <c r="O20" s="18"/>
    </row>
    <row r="21" spans="1:15" s="56" customFormat="1" ht="21" customHeight="1">
      <c r="A21" s="109">
        <v>5</v>
      </c>
      <c r="B21" s="105" t="s">
        <v>36</v>
      </c>
      <c r="C21" s="106" t="s">
        <v>37</v>
      </c>
      <c r="D21" s="109">
        <f>N8</f>
        <v>0</v>
      </c>
      <c r="E21" s="109"/>
      <c r="F21" s="109"/>
      <c r="G21" s="110"/>
      <c r="H21" s="110"/>
      <c r="I21" s="14"/>
      <c r="J21" s="18"/>
      <c r="K21" s="111"/>
      <c r="L21" s="22"/>
      <c r="M21" s="14"/>
      <c r="N21" s="18"/>
      <c r="O21" s="18"/>
    </row>
    <row r="22" spans="1:15" s="56" customFormat="1" ht="21" customHeight="1">
      <c r="A22" s="109">
        <v>6</v>
      </c>
      <c r="B22" s="110" t="s">
        <v>38</v>
      </c>
      <c r="C22" s="109" t="s">
        <v>39</v>
      </c>
      <c r="D22" s="109">
        <f>N8</f>
        <v>0</v>
      </c>
      <c r="E22" s="109"/>
      <c r="F22" s="109"/>
      <c r="G22" s="110"/>
      <c r="H22" s="110"/>
      <c r="I22" s="14"/>
      <c r="J22" s="18"/>
      <c r="K22" s="111"/>
      <c r="L22" s="22"/>
      <c r="M22" s="14"/>
      <c r="N22" s="18"/>
      <c r="O22" s="18"/>
    </row>
    <row r="23" spans="1:15" s="56" customFormat="1" ht="21" customHeight="1">
      <c r="A23" s="109">
        <v>7</v>
      </c>
      <c r="B23" s="110" t="s">
        <v>40</v>
      </c>
      <c r="C23" s="109" t="s">
        <v>41</v>
      </c>
      <c r="D23" s="109" t="s">
        <v>42</v>
      </c>
      <c r="E23" s="109"/>
      <c r="F23" s="109"/>
      <c r="G23" s="110"/>
      <c r="H23" s="110"/>
      <c r="I23" s="14"/>
      <c r="J23" s="18"/>
      <c r="K23" s="111"/>
      <c r="L23" s="22"/>
      <c r="M23" s="14"/>
      <c r="N23" s="18"/>
      <c r="O23" s="18"/>
    </row>
    <row r="24" spans="1:15" s="56" customFormat="1" ht="21" customHeight="1">
      <c r="A24" s="109">
        <v>8</v>
      </c>
      <c r="B24" s="110" t="s">
        <v>43</v>
      </c>
      <c r="C24" s="110"/>
      <c r="D24" s="109"/>
      <c r="E24" s="109"/>
      <c r="F24" s="109"/>
      <c r="G24" s="110"/>
      <c r="H24" s="110"/>
      <c r="I24" s="14"/>
      <c r="J24" s="18"/>
      <c r="K24" s="111"/>
      <c r="L24" s="26"/>
      <c r="M24" s="17"/>
      <c r="N24" s="14"/>
      <c r="O24" s="14"/>
    </row>
    <row r="25" spans="1:15" s="56" customFormat="1" ht="21" customHeight="1">
      <c r="A25" s="18"/>
      <c r="B25" s="14"/>
      <c r="C25" s="14"/>
      <c r="D25" s="18"/>
      <c r="E25" s="18"/>
      <c r="F25" s="18"/>
      <c r="G25" s="14"/>
      <c r="H25" s="14"/>
      <c r="I25" s="14"/>
      <c r="J25" s="18"/>
      <c r="K25" s="18"/>
      <c r="L25" s="14"/>
      <c r="M25" s="14"/>
      <c r="N25" s="18"/>
      <c r="O25" s="18"/>
    </row>
    <row r="26" spans="1:15" s="56" customFormat="1" ht="21" customHeight="1">
      <c r="A26" s="112" t="s">
        <v>44</v>
      </c>
      <c r="B26" s="14"/>
      <c r="C26" s="14"/>
      <c r="D26" s="18"/>
      <c r="E26" s="18"/>
      <c r="F26" s="18"/>
      <c r="G26" s="14"/>
      <c r="H26" s="14"/>
      <c r="I26" s="14"/>
      <c r="J26" s="18"/>
      <c r="K26" s="18"/>
      <c r="L26" s="14"/>
      <c r="M26" s="14"/>
      <c r="N26" s="18"/>
      <c r="O26" s="14"/>
    </row>
    <row r="27" spans="1:15" s="56" customFormat="1" ht="21" customHeight="1">
      <c r="A27" s="18"/>
      <c r="B27" s="14"/>
      <c r="C27" s="14"/>
      <c r="D27" s="18"/>
      <c r="E27" s="18"/>
      <c r="F27" s="18"/>
      <c r="G27" s="14"/>
      <c r="H27" s="14"/>
      <c r="I27" s="14"/>
      <c r="J27" s="18"/>
      <c r="K27" s="18"/>
      <c r="L27" s="14"/>
      <c r="M27" s="14"/>
      <c r="N27" s="18"/>
      <c r="O27" s="18"/>
    </row>
    <row r="28" spans="1:15" s="102" customFormat="1" ht="21" customHeight="1">
      <c r="A28" s="95" t="s">
        <v>22</v>
      </c>
      <c r="B28" s="95" t="s">
        <v>23</v>
      </c>
      <c r="C28" s="95" t="s">
        <v>24</v>
      </c>
      <c r="D28" s="95" t="s">
        <v>25</v>
      </c>
      <c r="E28" s="113"/>
      <c r="F28" s="114" t="s">
        <v>45</v>
      </c>
      <c r="G28" s="98" t="s">
        <v>46</v>
      </c>
      <c r="H28" s="44"/>
      <c r="I28" s="44"/>
      <c r="J28" s="45"/>
      <c r="K28" s="98" t="s">
        <v>47</v>
      </c>
      <c r="L28" s="44"/>
      <c r="M28" s="45"/>
      <c r="N28" s="98" t="s">
        <v>48</v>
      </c>
      <c r="O28" s="115"/>
    </row>
    <row r="29" spans="1:15" s="102" customFormat="1" ht="21" customHeight="1">
      <c r="A29" s="38"/>
      <c r="B29" s="38"/>
      <c r="C29" s="38"/>
      <c r="D29" s="38"/>
      <c r="E29" s="113"/>
      <c r="F29" s="38"/>
      <c r="G29" s="116" t="s">
        <v>49</v>
      </c>
      <c r="H29" s="116" t="s">
        <v>50</v>
      </c>
      <c r="I29" s="116" t="s">
        <v>51</v>
      </c>
      <c r="J29" s="117" t="s">
        <v>48</v>
      </c>
      <c r="K29" s="113" t="s">
        <v>52</v>
      </c>
      <c r="L29" s="116" t="s">
        <v>53</v>
      </c>
      <c r="M29" s="116" t="s">
        <v>54</v>
      </c>
      <c r="N29" s="38"/>
      <c r="O29" s="115"/>
    </row>
    <row r="30" spans="1:15" s="56" customFormat="1" ht="21" customHeight="1">
      <c r="A30" s="118">
        <v>10</v>
      </c>
      <c r="B30" s="10" t="s">
        <v>55</v>
      </c>
      <c r="C30" s="119" t="s">
        <v>56</v>
      </c>
      <c r="D30" s="67">
        <v>1</v>
      </c>
      <c r="E30" s="76"/>
      <c r="F30" s="120">
        <f>N8*D30</f>
        <v>0</v>
      </c>
      <c r="G30" s="121"/>
      <c r="H30" s="121"/>
      <c r="I30" s="121"/>
      <c r="J30" s="122"/>
      <c r="K30" s="120" t="s">
        <v>57</v>
      </c>
      <c r="L30" s="76"/>
      <c r="M30" s="110"/>
      <c r="N30" s="110"/>
      <c r="O30" s="22"/>
    </row>
    <row r="31" spans="1:15" s="56" customFormat="1" ht="21" customHeight="1">
      <c r="A31" s="47"/>
      <c r="B31" s="8"/>
      <c r="C31" s="47"/>
      <c r="D31" s="47"/>
      <c r="E31" s="110"/>
      <c r="F31" s="47"/>
      <c r="G31" s="121"/>
      <c r="H31" s="121"/>
      <c r="I31" s="121"/>
      <c r="J31" s="122"/>
      <c r="K31" s="47"/>
      <c r="L31" s="109"/>
      <c r="M31" s="110"/>
      <c r="N31" s="110"/>
      <c r="O31" s="22"/>
    </row>
    <row r="32" spans="1:15" s="56" customFormat="1" ht="21" customHeight="1">
      <c r="A32" s="47"/>
      <c r="B32" s="8"/>
      <c r="C32" s="47"/>
      <c r="D32" s="47"/>
      <c r="E32" s="110"/>
      <c r="F32" s="47"/>
      <c r="G32" s="121"/>
      <c r="H32" s="121"/>
      <c r="I32" s="121"/>
      <c r="J32" s="122"/>
      <c r="K32" s="47"/>
      <c r="L32" s="110"/>
      <c r="M32" s="110"/>
      <c r="N32" s="110"/>
      <c r="O32" s="22"/>
    </row>
    <row r="33" spans="1:15" s="56" customFormat="1" ht="21" customHeight="1">
      <c r="A33" s="47"/>
      <c r="B33" s="8"/>
      <c r="C33" s="47"/>
      <c r="D33" s="47"/>
      <c r="E33" s="110"/>
      <c r="F33" s="47"/>
      <c r="G33" s="121"/>
      <c r="H33" s="121"/>
      <c r="I33" s="121"/>
      <c r="J33" s="122"/>
      <c r="K33" s="47"/>
      <c r="L33" s="110"/>
      <c r="M33" s="110"/>
      <c r="N33" s="110"/>
      <c r="O33" s="22"/>
    </row>
    <row r="34" spans="1:15" s="56" customFormat="1" ht="21" customHeight="1">
      <c r="A34" s="47"/>
      <c r="B34" s="8"/>
      <c r="C34" s="47"/>
      <c r="D34" s="47"/>
      <c r="E34" s="110"/>
      <c r="F34" s="47"/>
      <c r="G34" s="121"/>
      <c r="H34" s="121"/>
      <c r="I34" s="121"/>
      <c r="J34" s="122"/>
      <c r="K34" s="47"/>
      <c r="L34" s="110"/>
      <c r="M34" s="110"/>
      <c r="N34" s="110"/>
      <c r="O34" s="22"/>
    </row>
    <row r="35" spans="1:15" s="56" customFormat="1" ht="21" customHeight="1">
      <c r="A35" s="47"/>
      <c r="B35" s="8"/>
      <c r="C35" s="47"/>
      <c r="D35" s="47"/>
      <c r="E35" s="110"/>
      <c r="F35" s="47"/>
      <c r="G35" s="121"/>
      <c r="H35" s="121"/>
      <c r="I35" s="121"/>
      <c r="J35" s="122"/>
      <c r="K35" s="47"/>
      <c r="L35" s="110"/>
      <c r="M35" s="110"/>
      <c r="N35" s="110"/>
      <c r="O35" s="22"/>
    </row>
    <row r="36" spans="1:15" s="56" customFormat="1" ht="21" customHeight="1">
      <c r="A36" s="47"/>
      <c r="B36" s="8"/>
      <c r="C36" s="47"/>
      <c r="D36" s="47"/>
      <c r="E36" s="109"/>
      <c r="F36" s="47"/>
      <c r="G36" s="121"/>
      <c r="H36" s="121"/>
      <c r="I36" s="121"/>
      <c r="J36" s="122"/>
      <c r="K36" s="47"/>
      <c r="L36" s="110"/>
      <c r="M36" s="110"/>
      <c r="N36" s="110"/>
      <c r="O36" s="22"/>
    </row>
    <row r="37" spans="1:15" s="56" customFormat="1" ht="21" customHeight="1">
      <c r="A37" s="38"/>
      <c r="B37" s="9"/>
      <c r="C37" s="38"/>
      <c r="D37" s="38"/>
      <c r="E37" s="109"/>
      <c r="F37" s="38"/>
      <c r="G37" s="121"/>
      <c r="H37" s="121"/>
      <c r="I37" s="121"/>
      <c r="J37" s="122"/>
      <c r="K37" s="38"/>
      <c r="L37" s="110"/>
      <c r="M37" s="110"/>
      <c r="N37" s="110"/>
      <c r="O37" s="22"/>
    </row>
    <row r="38" spans="1:15" s="56" customFormat="1" ht="21" customHeight="1">
      <c r="A38" s="18"/>
      <c r="B38" s="14"/>
      <c r="C38" s="18"/>
      <c r="D38" s="18"/>
      <c r="E38" s="18"/>
      <c r="F38" s="123"/>
      <c r="G38" s="14"/>
      <c r="H38" s="14"/>
      <c r="I38" s="18"/>
      <c r="J38" s="18"/>
      <c r="K38" s="14"/>
      <c r="L38" s="14"/>
      <c r="M38" s="18"/>
      <c r="N38" s="18"/>
      <c r="O38" s="14"/>
    </row>
    <row r="39" spans="1:15" s="56" customFormat="1" ht="21" hidden="1" customHeight="1">
      <c r="A39" s="94" t="s">
        <v>58</v>
      </c>
      <c r="B39" s="14"/>
      <c r="C39" s="14"/>
      <c r="D39" s="18"/>
      <c r="E39" s="18"/>
      <c r="F39" s="18"/>
      <c r="G39" s="14"/>
      <c r="H39" s="14"/>
      <c r="I39" s="14"/>
      <c r="J39" s="18"/>
      <c r="K39" s="18"/>
      <c r="L39" s="14"/>
      <c r="M39" s="14"/>
      <c r="N39" s="18"/>
      <c r="O39" s="18"/>
    </row>
    <row r="40" spans="1:15" s="56" customFormat="1" ht="21" hidden="1" customHeight="1">
      <c r="A40" s="18"/>
      <c r="B40" s="14"/>
      <c r="C40" s="14"/>
      <c r="D40" s="18"/>
      <c r="E40" s="18"/>
      <c r="F40" s="18"/>
      <c r="G40" s="14"/>
      <c r="H40" s="14"/>
      <c r="I40" s="14"/>
      <c r="J40" s="18"/>
      <c r="K40" s="18"/>
      <c r="L40" s="14"/>
      <c r="M40" s="14"/>
      <c r="N40" s="18"/>
      <c r="O40" s="18"/>
    </row>
    <row r="41" spans="1:15" s="127" customFormat="1" ht="21" hidden="1" customHeight="1">
      <c r="A41" s="33" t="s">
        <v>22</v>
      </c>
      <c r="B41" s="33" t="s">
        <v>59</v>
      </c>
      <c r="C41" s="33" t="s">
        <v>60</v>
      </c>
      <c r="D41" s="124" t="s">
        <v>60</v>
      </c>
      <c r="E41" s="125"/>
      <c r="F41" s="33" t="s">
        <v>61</v>
      </c>
      <c r="G41" s="33" t="s">
        <v>24</v>
      </c>
      <c r="H41" s="126" t="s">
        <v>62</v>
      </c>
      <c r="I41" s="126" t="s">
        <v>63</v>
      </c>
      <c r="J41" s="126" t="s">
        <v>64</v>
      </c>
      <c r="K41" s="126" t="s">
        <v>65</v>
      </c>
      <c r="L41" s="126" t="s">
        <v>66</v>
      </c>
      <c r="M41" s="36"/>
      <c r="N41" s="126" t="s">
        <v>67</v>
      </c>
      <c r="O41" s="36"/>
    </row>
    <row r="42" spans="1:15" s="127" customFormat="1" ht="21" hidden="1" customHeight="1">
      <c r="A42" s="47"/>
      <c r="B42" s="47"/>
      <c r="C42" s="47"/>
      <c r="D42" s="128"/>
      <c r="E42" s="14"/>
      <c r="F42" s="47"/>
      <c r="G42" s="47"/>
      <c r="H42" s="47"/>
      <c r="I42" s="47"/>
      <c r="J42" s="47"/>
      <c r="K42" s="47"/>
      <c r="L42" s="39"/>
      <c r="M42" s="40"/>
      <c r="N42" s="39"/>
      <c r="O42" s="40"/>
    </row>
    <row r="43" spans="1:15" s="127" customFormat="1" ht="21" hidden="1" customHeight="1">
      <c r="A43" s="38"/>
      <c r="B43" s="38"/>
      <c r="C43" s="38"/>
      <c r="D43" s="39"/>
      <c r="E43" s="14"/>
      <c r="F43" s="38"/>
      <c r="G43" s="38"/>
      <c r="H43" s="38"/>
      <c r="I43" s="38"/>
      <c r="J43" s="38"/>
      <c r="K43" s="38"/>
      <c r="L43" s="129" t="s">
        <v>53</v>
      </c>
      <c r="M43" s="130" t="s">
        <v>54</v>
      </c>
      <c r="N43" s="129" t="s">
        <v>53</v>
      </c>
      <c r="O43" s="130" t="s">
        <v>54</v>
      </c>
    </row>
    <row r="44" spans="1:15" s="137" customFormat="1" ht="21" hidden="1" customHeight="1">
      <c r="A44" s="131">
        <v>1</v>
      </c>
      <c r="B44" s="132" t="s">
        <v>11</v>
      </c>
      <c r="C44" s="132" t="s">
        <v>55</v>
      </c>
      <c r="D44" s="133" t="s">
        <v>11</v>
      </c>
      <c r="E44" s="133" t="s">
        <v>68</v>
      </c>
      <c r="F44" s="134" t="s">
        <v>69</v>
      </c>
      <c r="G44" s="135" t="s">
        <v>30</v>
      </c>
      <c r="H44" s="134" t="s">
        <v>70</v>
      </c>
      <c r="I44" s="133">
        <v>152.4</v>
      </c>
      <c r="J44" s="136" t="s">
        <v>71</v>
      </c>
      <c r="K44" s="134" t="s">
        <v>57</v>
      </c>
      <c r="L44" s="133"/>
      <c r="M44" s="133"/>
      <c r="N44" s="133"/>
      <c r="O44" s="133"/>
    </row>
    <row r="45" spans="1:15" s="56" customFormat="1" ht="21" hidden="1" customHeight="1">
      <c r="A45" s="18"/>
      <c r="B45" s="14"/>
      <c r="C45" s="14"/>
      <c r="D45" s="18"/>
      <c r="E45" s="18"/>
      <c r="F45" s="18"/>
      <c r="G45" s="14"/>
      <c r="H45" s="18"/>
      <c r="I45" s="14"/>
      <c r="J45" s="18"/>
      <c r="K45" s="18"/>
      <c r="L45" s="14"/>
      <c r="M45" s="14"/>
      <c r="N45" s="18"/>
      <c r="O45" s="18"/>
    </row>
    <row r="46" spans="1:15" s="56" customFormat="1" ht="21" hidden="1" customHeight="1">
      <c r="A46" s="18"/>
      <c r="B46" s="14"/>
      <c r="C46" s="14"/>
      <c r="D46" s="18"/>
      <c r="E46" s="18"/>
      <c r="F46" s="18"/>
      <c r="G46" s="14"/>
      <c r="H46" s="14"/>
      <c r="I46" s="56" t="s">
        <v>72</v>
      </c>
      <c r="J46" s="18"/>
      <c r="K46" s="56" t="s">
        <v>73</v>
      </c>
      <c r="L46" s="14"/>
      <c r="M46" s="138"/>
      <c r="N46" s="139"/>
      <c r="O46" s="139"/>
    </row>
    <row r="47" spans="1:15" s="137" customFormat="1" ht="21" customHeight="1">
      <c r="A47" s="94"/>
      <c r="B47" s="140"/>
      <c r="C47" s="14"/>
      <c r="D47" s="141"/>
      <c r="E47" s="141"/>
      <c r="F47" s="141"/>
      <c r="G47" s="14"/>
      <c r="H47" s="142"/>
      <c r="I47" s="14"/>
      <c r="J47" s="141"/>
      <c r="K47" s="141"/>
      <c r="L47" s="14"/>
      <c r="M47" s="14"/>
      <c r="N47" s="141"/>
      <c r="O47" s="141"/>
    </row>
    <row r="48" spans="1:15" s="137" customFormat="1" ht="21" customHeight="1">
      <c r="A48" s="141"/>
      <c r="B48" s="140"/>
      <c r="C48" s="14"/>
      <c r="D48" s="141"/>
      <c r="E48" s="141"/>
      <c r="F48" s="141"/>
      <c r="G48" s="14"/>
      <c r="H48" s="14"/>
      <c r="I48" s="14"/>
      <c r="J48" s="141"/>
      <c r="K48" s="141"/>
      <c r="L48" s="14"/>
      <c r="M48" s="14"/>
      <c r="N48" s="141"/>
      <c r="O48" s="141"/>
    </row>
    <row r="49" spans="1:15" s="137" customFormat="1" ht="21" customHeight="1">
      <c r="A49" s="141"/>
      <c r="B49" s="14"/>
      <c r="C49" s="14"/>
      <c r="D49" s="14"/>
      <c r="E49" s="14"/>
      <c r="F49" s="14"/>
      <c r="G49" s="14"/>
      <c r="H49" s="14"/>
      <c r="I49" s="14"/>
      <c r="J49" s="14"/>
      <c r="K49" s="141"/>
      <c r="L49" s="14"/>
      <c r="M49" s="14"/>
      <c r="N49" s="141"/>
      <c r="O49" s="141"/>
    </row>
    <row r="50" spans="1:15" s="137" customFormat="1" ht="21" customHeight="1">
      <c r="A50" s="141"/>
      <c r="B50" s="140"/>
      <c r="C50" s="14"/>
      <c r="D50" s="14"/>
      <c r="E50" s="14"/>
      <c r="F50" s="14"/>
      <c r="G50" s="14"/>
      <c r="H50" s="14"/>
      <c r="I50" s="14"/>
      <c r="J50" s="14"/>
      <c r="K50" s="141"/>
      <c r="L50" s="14"/>
      <c r="M50" s="14"/>
      <c r="N50" s="141"/>
      <c r="O50" s="141"/>
    </row>
    <row r="51" spans="1:15" s="137" customFormat="1" ht="21" customHeight="1">
      <c r="A51" s="141"/>
      <c r="B51" s="14"/>
      <c r="C51" s="14"/>
      <c r="D51" s="141"/>
      <c r="E51" s="141"/>
      <c r="F51" s="141"/>
      <c r="G51" s="14"/>
      <c r="H51" s="14"/>
      <c r="I51" s="14"/>
      <c r="J51" s="141"/>
      <c r="K51" s="141"/>
      <c r="L51" s="14"/>
      <c r="M51" s="14"/>
      <c r="N51" s="141"/>
      <c r="O51" s="141"/>
    </row>
    <row r="52" spans="1:15" s="137" customFormat="1" ht="21" customHeight="1">
      <c r="A52" s="141"/>
      <c r="B52" s="14"/>
      <c r="C52" s="14"/>
      <c r="D52" s="141"/>
      <c r="E52" s="141"/>
      <c r="F52" s="141"/>
      <c r="G52" s="14"/>
      <c r="H52" s="14"/>
      <c r="I52" s="14"/>
      <c r="J52" s="141"/>
      <c r="K52" s="141"/>
      <c r="L52" s="14"/>
      <c r="M52" s="14"/>
      <c r="N52" s="141"/>
      <c r="O52" s="141"/>
    </row>
    <row r="53" spans="1:15" s="137" customFormat="1" ht="21" customHeight="1">
      <c r="A53" s="141"/>
      <c r="B53" s="14"/>
      <c r="C53" s="14"/>
      <c r="D53" s="141"/>
      <c r="E53" s="141"/>
      <c r="F53" s="141"/>
      <c r="G53" s="14"/>
      <c r="H53" s="14"/>
      <c r="I53" s="14"/>
      <c r="J53" s="141"/>
      <c r="K53" s="141"/>
      <c r="L53" s="14"/>
      <c r="M53" s="14"/>
      <c r="N53" s="141"/>
      <c r="O53" s="141"/>
    </row>
    <row r="54" spans="1:15" s="137" customFormat="1" ht="21" customHeight="1">
      <c r="A54" s="141"/>
      <c r="B54" s="14"/>
      <c r="C54" s="14"/>
      <c r="D54" s="141"/>
      <c r="E54" s="141"/>
      <c r="F54" s="141"/>
      <c r="G54" s="14"/>
      <c r="H54" s="14"/>
      <c r="I54" s="14"/>
      <c r="J54" s="141"/>
      <c r="K54" s="141"/>
      <c r="L54" s="14"/>
      <c r="M54" s="14"/>
      <c r="N54" s="141"/>
      <c r="O54" s="141"/>
    </row>
    <row r="55" spans="1:15" s="56" customFormat="1" ht="21" customHeight="1">
      <c r="A55" s="18"/>
      <c r="B55" s="14"/>
      <c r="C55" s="14"/>
      <c r="D55" s="18"/>
      <c r="E55" s="18"/>
      <c r="F55" s="18"/>
      <c r="G55" s="14"/>
      <c r="H55" s="14"/>
      <c r="I55" s="14"/>
      <c r="J55" s="18"/>
      <c r="K55" s="18"/>
      <c r="L55" s="14"/>
      <c r="M55" s="14"/>
      <c r="N55" s="18"/>
      <c r="O55" s="18"/>
    </row>
    <row r="56" spans="1:15" s="56" customFormat="1" ht="21" customHeight="1">
      <c r="A56" s="18"/>
      <c r="B56" s="14"/>
      <c r="C56" s="14"/>
      <c r="D56" s="18"/>
      <c r="E56" s="18"/>
      <c r="F56" s="18"/>
      <c r="G56" s="14"/>
      <c r="H56" s="14"/>
      <c r="I56" s="14"/>
      <c r="J56" s="18"/>
      <c r="K56" s="18"/>
      <c r="L56" s="14"/>
      <c r="M56" s="14"/>
      <c r="N56" s="18"/>
      <c r="O56" s="18"/>
    </row>
    <row r="57" spans="1:15" s="56" customFormat="1" ht="21" customHeight="1">
      <c r="A57" s="18"/>
      <c r="B57" s="14"/>
      <c r="C57" s="14"/>
      <c r="D57" s="18"/>
      <c r="E57" s="18"/>
      <c r="F57" s="18"/>
      <c r="G57" s="14"/>
      <c r="H57" s="14"/>
      <c r="I57" s="14"/>
      <c r="J57" s="18"/>
      <c r="K57" s="18"/>
      <c r="L57" s="14"/>
      <c r="M57" s="14"/>
      <c r="N57" s="18"/>
      <c r="O57" s="18"/>
    </row>
    <row r="58" spans="1:15" s="56" customFormat="1" ht="21" customHeight="1">
      <c r="A58" s="18"/>
      <c r="B58" s="14"/>
      <c r="C58" s="14"/>
      <c r="D58" s="18"/>
      <c r="E58" s="18"/>
      <c r="F58" s="18"/>
      <c r="G58" s="14"/>
      <c r="H58" s="14"/>
      <c r="I58" s="14"/>
      <c r="J58" s="18"/>
      <c r="K58" s="18"/>
      <c r="L58" s="14"/>
      <c r="M58" s="14"/>
      <c r="N58" s="18"/>
      <c r="O58" s="18"/>
    </row>
    <row r="59" spans="1:15" s="56" customFormat="1" ht="21" customHeight="1">
      <c r="A59" s="18"/>
      <c r="B59" s="14"/>
      <c r="C59" s="14"/>
      <c r="D59" s="18"/>
      <c r="E59" s="18"/>
      <c r="F59" s="18"/>
      <c r="G59" s="14"/>
      <c r="H59" s="14"/>
      <c r="I59" s="14"/>
      <c r="J59" s="18"/>
      <c r="K59" s="18"/>
      <c r="L59" s="14"/>
      <c r="M59" s="14"/>
      <c r="N59" s="18"/>
      <c r="O59" s="18"/>
    </row>
    <row r="60" spans="1:15" s="56" customFormat="1" ht="21" customHeight="1">
      <c r="A60" s="18"/>
      <c r="B60" s="14"/>
      <c r="C60" s="14"/>
      <c r="D60" s="18"/>
      <c r="E60" s="18"/>
      <c r="F60" s="18"/>
      <c r="G60" s="14"/>
      <c r="H60" s="14"/>
      <c r="I60" s="14"/>
      <c r="J60" s="18"/>
      <c r="K60" s="18"/>
      <c r="L60" s="14"/>
      <c r="M60" s="14"/>
      <c r="N60" s="18"/>
      <c r="O60" s="18"/>
    </row>
    <row r="61" spans="1:15" s="56" customFormat="1" ht="21" customHeight="1">
      <c r="A61" s="18"/>
      <c r="B61" s="14"/>
      <c r="C61" s="14"/>
      <c r="D61" s="18"/>
      <c r="E61" s="18"/>
      <c r="F61" s="18"/>
      <c r="G61" s="14"/>
      <c r="H61" s="14"/>
      <c r="I61" s="14"/>
      <c r="J61" s="18"/>
      <c r="K61" s="18"/>
      <c r="L61" s="14"/>
      <c r="M61" s="14"/>
      <c r="N61" s="18"/>
      <c r="O61" s="18"/>
    </row>
    <row r="62" spans="1:15" s="56" customFormat="1" ht="21" customHeight="1">
      <c r="A62" s="18"/>
      <c r="B62" s="14"/>
      <c r="C62" s="14"/>
      <c r="D62" s="18"/>
      <c r="E62" s="18"/>
      <c r="F62" s="18"/>
      <c r="G62" s="14"/>
      <c r="H62" s="14"/>
      <c r="I62" s="14"/>
      <c r="J62" s="18"/>
      <c r="K62" s="18"/>
      <c r="L62" s="14"/>
      <c r="M62" s="14"/>
      <c r="N62" s="18"/>
      <c r="O62" s="18"/>
    </row>
    <row r="63" spans="1:15" s="56" customFormat="1" ht="21" customHeight="1">
      <c r="A63" s="18"/>
      <c r="B63" s="14"/>
      <c r="C63" s="14"/>
      <c r="D63" s="18"/>
      <c r="E63" s="18"/>
      <c r="F63" s="18"/>
      <c r="G63" s="14"/>
      <c r="H63" s="14"/>
      <c r="I63" s="14"/>
      <c r="J63" s="18"/>
      <c r="K63" s="18"/>
      <c r="L63" s="14"/>
      <c r="M63" s="14"/>
      <c r="N63" s="18"/>
      <c r="O63" s="18"/>
    </row>
    <row r="64" spans="1:15" s="56" customFormat="1" ht="21" customHeight="1">
      <c r="A64" s="18"/>
      <c r="B64" s="14"/>
      <c r="C64" s="14"/>
      <c r="D64" s="18"/>
      <c r="E64" s="18"/>
      <c r="F64" s="18"/>
      <c r="G64" s="14"/>
      <c r="H64" s="14"/>
      <c r="I64" s="14"/>
      <c r="J64" s="18"/>
      <c r="K64" s="18"/>
      <c r="L64" s="14"/>
      <c r="M64" s="14"/>
      <c r="N64" s="18"/>
      <c r="O64" s="18"/>
    </row>
    <row r="65" spans="1:15" s="56" customFormat="1" ht="21" customHeight="1">
      <c r="A65" s="18"/>
      <c r="B65" s="14"/>
      <c r="C65" s="14"/>
      <c r="D65" s="18"/>
      <c r="E65" s="18"/>
      <c r="F65" s="18"/>
      <c r="G65" s="14"/>
      <c r="H65" s="14"/>
      <c r="I65" s="14"/>
      <c r="J65" s="18"/>
      <c r="K65" s="18"/>
      <c r="L65" s="14"/>
      <c r="M65" s="14"/>
      <c r="N65" s="18"/>
      <c r="O65" s="18"/>
    </row>
    <row r="66" spans="1:15" s="56" customFormat="1" ht="21" customHeight="1">
      <c r="A66" s="18"/>
      <c r="B66" s="14"/>
      <c r="C66" s="14"/>
      <c r="D66" s="18"/>
      <c r="E66" s="18"/>
      <c r="F66" s="18"/>
      <c r="G66" s="14"/>
      <c r="H66" s="14"/>
      <c r="I66" s="14"/>
      <c r="J66" s="18"/>
      <c r="K66" s="18"/>
      <c r="L66" s="14"/>
      <c r="M66" s="14"/>
      <c r="N66" s="18"/>
      <c r="O66" s="18"/>
    </row>
    <row r="67" spans="1:15" s="56" customFormat="1" ht="21" customHeight="1">
      <c r="A67" s="18"/>
      <c r="B67" s="14"/>
      <c r="C67" s="14"/>
      <c r="D67" s="18"/>
      <c r="E67" s="18"/>
      <c r="F67" s="18"/>
      <c r="G67" s="14"/>
      <c r="H67" s="14"/>
      <c r="I67" s="14"/>
      <c r="J67" s="18"/>
      <c r="K67" s="18"/>
      <c r="L67" s="14"/>
      <c r="M67" s="14"/>
      <c r="N67" s="18"/>
      <c r="O67" s="18"/>
    </row>
    <row r="68" spans="1:15" s="56" customFormat="1" ht="21" customHeight="1">
      <c r="A68" s="18"/>
      <c r="B68" s="14"/>
      <c r="C68" s="14"/>
      <c r="D68" s="18"/>
      <c r="E68" s="18"/>
      <c r="F68" s="18"/>
      <c r="G68" s="14"/>
      <c r="H68" s="14"/>
      <c r="I68" s="14"/>
      <c r="J68" s="18"/>
      <c r="K68" s="18"/>
      <c r="L68" s="14"/>
      <c r="M68" s="14"/>
      <c r="N68" s="18"/>
      <c r="O68" s="18"/>
    </row>
    <row r="69" spans="1:15" s="56" customFormat="1" ht="21" customHeight="1">
      <c r="A69" s="18"/>
      <c r="B69" s="14"/>
      <c r="C69" s="14"/>
      <c r="D69" s="18"/>
      <c r="E69" s="18"/>
      <c r="F69" s="18"/>
      <c r="G69" s="14"/>
      <c r="H69" s="14"/>
      <c r="I69" s="14"/>
      <c r="J69" s="18"/>
      <c r="K69" s="18"/>
      <c r="L69" s="14"/>
      <c r="M69" s="14"/>
      <c r="N69" s="18"/>
      <c r="O69" s="18"/>
    </row>
    <row r="70" spans="1:15" s="56" customFormat="1" ht="21" customHeight="1">
      <c r="A70" s="18"/>
      <c r="B70" s="14"/>
      <c r="C70" s="14"/>
      <c r="D70" s="18"/>
      <c r="E70" s="18"/>
      <c r="F70" s="18"/>
      <c r="G70" s="14"/>
      <c r="H70" s="14"/>
      <c r="I70" s="14"/>
      <c r="J70" s="18"/>
      <c r="K70" s="18"/>
      <c r="L70" s="14"/>
      <c r="M70" s="14"/>
      <c r="N70" s="18"/>
      <c r="O70" s="18"/>
    </row>
    <row r="71" spans="1:15" s="56" customFormat="1" ht="21" customHeight="1">
      <c r="A71" s="18"/>
      <c r="B71" s="14"/>
      <c r="C71" s="14"/>
      <c r="D71" s="18"/>
      <c r="E71" s="18"/>
      <c r="F71" s="18"/>
      <c r="G71" s="14"/>
      <c r="H71" s="14"/>
      <c r="I71" s="14"/>
      <c r="J71" s="18"/>
      <c r="K71" s="18"/>
      <c r="L71" s="14"/>
      <c r="M71" s="14"/>
      <c r="N71" s="18"/>
      <c r="O71" s="18"/>
    </row>
    <row r="72" spans="1:15" s="56" customFormat="1" ht="21" customHeight="1">
      <c r="A72" s="18"/>
      <c r="B72" s="14"/>
      <c r="C72" s="14"/>
      <c r="D72" s="18"/>
      <c r="E72" s="18"/>
      <c r="F72" s="18"/>
      <c r="G72" s="14"/>
      <c r="H72" s="14"/>
      <c r="I72" s="14"/>
      <c r="J72" s="18"/>
      <c r="K72" s="18"/>
      <c r="L72" s="14"/>
      <c r="M72" s="14"/>
      <c r="N72" s="18"/>
      <c r="O72" s="18"/>
    </row>
    <row r="73" spans="1:15" s="56" customFormat="1" ht="21" customHeight="1">
      <c r="A73" s="18"/>
      <c r="B73" s="14"/>
      <c r="C73" s="14"/>
      <c r="D73" s="18"/>
      <c r="E73" s="18"/>
      <c r="F73" s="18"/>
      <c r="G73" s="14"/>
      <c r="H73" s="14"/>
      <c r="I73" s="14"/>
      <c r="J73" s="18"/>
      <c r="K73" s="18"/>
      <c r="L73" s="14"/>
      <c r="M73" s="14"/>
      <c r="N73" s="18"/>
      <c r="O73" s="18"/>
    </row>
    <row r="74" spans="1:15" s="56" customFormat="1" ht="21" customHeight="1">
      <c r="A74" s="18"/>
      <c r="B74" s="14"/>
      <c r="C74" s="14"/>
      <c r="D74" s="18"/>
      <c r="E74" s="18"/>
      <c r="F74" s="18"/>
      <c r="G74" s="14"/>
      <c r="H74" s="14"/>
      <c r="I74" s="14"/>
      <c r="J74" s="18"/>
      <c r="K74" s="18"/>
      <c r="L74" s="14"/>
      <c r="M74" s="14"/>
      <c r="N74" s="18"/>
      <c r="O74" s="18"/>
    </row>
    <row r="75" spans="1:15" s="56" customFormat="1" ht="21" customHeight="1">
      <c r="A75" s="18"/>
      <c r="B75" s="14"/>
      <c r="C75" s="14"/>
      <c r="D75" s="18"/>
      <c r="E75" s="18"/>
      <c r="F75" s="18"/>
      <c r="G75" s="14"/>
      <c r="H75" s="14"/>
      <c r="I75" s="14"/>
      <c r="J75" s="18"/>
      <c r="K75" s="18"/>
      <c r="L75" s="14"/>
      <c r="M75" s="14"/>
      <c r="N75" s="18"/>
      <c r="O75" s="18"/>
    </row>
    <row r="76" spans="1:15" s="56" customFormat="1" ht="21" customHeight="1">
      <c r="A76" s="18"/>
      <c r="B76" s="14"/>
      <c r="C76" s="14"/>
      <c r="D76" s="18"/>
      <c r="E76" s="18"/>
      <c r="F76" s="18"/>
      <c r="G76" s="14"/>
      <c r="H76" s="14"/>
      <c r="I76" s="14"/>
      <c r="J76" s="18"/>
      <c r="K76" s="18"/>
      <c r="L76" s="14"/>
      <c r="M76" s="14"/>
      <c r="N76" s="18"/>
      <c r="O76" s="18"/>
    </row>
    <row r="77" spans="1:15" s="56" customFormat="1" ht="21" customHeight="1">
      <c r="A77" s="18"/>
      <c r="B77" s="14"/>
      <c r="C77" s="14"/>
      <c r="D77" s="18"/>
      <c r="E77" s="18"/>
      <c r="F77" s="18"/>
      <c r="G77" s="14"/>
      <c r="H77" s="14"/>
      <c r="I77" s="14"/>
      <c r="J77" s="18"/>
      <c r="K77" s="18"/>
      <c r="L77" s="14"/>
      <c r="M77" s="14"/>
      <c r="N77" s="18"/>
      <c r="O77" s="18"/>
    </row>
    <row r="78" spans="1:15" s="56" customFormat="1" ht="21" customHeight="1">
      <c r="A78" s="18"/>
      <c r="B78" s="14"/>
      <c r="C78" s="14"/>
      <c r="D78" s="18"/>
      <c r="E78" s="18"/>
      <c r="F78" s="18"/>
      <c r="G78" s="14"/>
      <c r="H78" s="14"/>
      <c r="I78" s="14"/>
      <c r="J78" s="18"/>
      <c r="K78" s="18"/>
      <c r="L78" s="14"/>
      <c r="M78" s="14"/>
      <c r="N78" s="18"/>
      <c r="O78" s="18"/>
    </row>
    <row r="79" spans="1:15" s="56" customFormat="1" ht="21" customHeight="1">
      <c r="A79" s="18"/>
      <c r="B79" s="14"/>
      <c r="C79" s="14"/>
      <c r="D79" s="18"/>
      <c r="E79" s="18"/>
      <c r="F79" s="18"/>
      <c r="G79" s="14"/>
      <c r="H79" s="14"/>
      <c r="I79" s="14"/>
      <c r="J79" s="18"/>
      <c r="K79" s="18"/>
      <c r="L79" s="14"/>
      <c r="M79" s="14"/>
      <c r="N79" s="18"/>
      <c r="O79" s="18"/>
    </row>
    <row r="80" spans="1:15" s="56" customFormat="1" ht="21" customHeight="1">
      <c r="A80" s="18"/>
      <c r="B80" s="14"/>
      <c r="C80" s="14"/>
      <c r="D80" s="18"/>
      <c r="E80" s="18"/>
      <c r="F80" s="18"/>
      <c r="G80" s="14"/>
      <c r="H80" s="14"/>
      <c r="I80" s="14"/>
      <c r="J80" s="18"/>
      <c r="K80" s="18"/>
      <c r="L80" s="14"/>
      <c r="M80" s="14"/>
      <c r="N80" s="18"/>
      <c r="O80" s="18"/>
    </row>
    <row r="81" spans="1:15" s="56" customFormat="1" ht="21" customHeight="1">
      <c r="A81" s="18"/>
      <c r="B81" s="14"/>
      <c r="C81" s="14"/>
      <c r="D81" s="18"/>
      <c r="E81" s="18"/>
      <c r="F81" s="18"/>
      <c r="G81" s="14"/>
      <c r="H81" s="14"/>
      <c r="I81" s="14"/>
      <c r="J81" s="18"/>
      <c r="K81" s="18"/>
      <c r="L81" s="14"/>
      <c r="M81" s="14"/>
      <c r="N81" s="18"/>
      <c r="O81" s="18"/>
    </row>
    <row r="82" spans="1:15" s="56" customFormat="1" ht="21" customHeight="1">
      <c r="A82" s="18"/>
      <c r="B82" s="14"/>
      <c r="C82" s="14"/>
      <c r="D82" s="18"/>
      <c r="E82" s="18"/>
      <c r="F82" s="18"/>
      <c r="G82" s="14"/>
      <c r="H82" s="14"/>
      <c r="I82" s="14"/>
      <c r="J82" s="18"/>
      <c r="K82" s="18"/>
      <c r="L82" s="14"/>
      <c r="M82" s="14"/>
      <c r="N82" s="18"/>
      <c r="O82" s="18"/>
    </row>
    <row r="83" spans="1:15" s="56" customFormat="1" ht="21" customHeight="1">
      <c r="A83" s="18"/>
      <c r="B83" s="14"/>
      <c r="C83" s="14"/>
      <c r="D83" s="18"/>
      <c r="E83" s="18"/>
      <c r="F83" s="18"/>
      <c r="G83" s="14"/>
      <c r="H83" s="14"/>
      <c r="I83" s="14"/>
      <c r="J83" s="18"/>
      <c r="K83" s="18"/>
      <c r="L83" s="14"/>
      <c r="M83" s="14"/>
      <c r="N83" s="18"/>
      <c r="O83" s="18"/>
    </row>
    <row r="84" spans="1:15" s="56" customFormat="1" ht="21" customHeight="1">
      <c r="A84" s="18"/>
      <c r="B84" s="14"/>
      <c r="C84" s="14"/>
      <c r="D84" s="18"/>
      <c r="E84" s="18"/>
      <c r="F84" s="18"/>
      <c r="G84" s="14"/>
      <c r="H84" s="14"/>
      <c r="I84" s="14"/>
      <c r="J84" s="18"/>
      <c r="K84" s="18"/>
      <c r="L84" s="14"/>
      <c r="M84" s="14"/>
      <c r="N84" s="18"/>
      <c r="O84" s="18"/>
    </row>
    <row r="85" spans="1:15" s="56" customFormat="1" ht="21" customHeight="1">
      <c r="A85" s="18"/>
      <c r="B85" s="14"/>
      <c r="C85" s="14"/>
      <c r="D85" s="18"/>
      <c r="E85" s="18"/>
      <c r="F85" s="18"/>
      <c r="G85" s="14"/>
      <c r="H85" s="14"/>
      <c r="I85" s="14"/>
      <c r="J85" s="18"/>
      <c r="K85" s="18"/>
      <c r="L85" s="14"/>
      <c r="M85" s="14"/>
      <c r="N85" s="18"/>
      <c r="O85" s="18"/>
    </row>
    <row r="86" spans="1:15" s="56" customFormat="1" ht="21" customHeight="1">
      <c r="A86" s="18"/>
      <c r="B86" s="14"/>
      <c r="C86" s="14"/>
      <c r="D86" s="18"/>
      <c r="E86" s="18"/>
      <c r="F86" s="18"/>
      <c r="G86" s="14"/>
      <c r="H86" s="14"/>
      <c r="I86" s="14"/>
      <c r="J86" s="18"/>
      <c r="K86" s="18"/>
      <c r="L86" s="14"/>
      <c r="M86" s="14"/>
      <c r="N86" s="18"/>
      <c r="O86" s="18"/>
    </row>
    <row r="87" spans="1:15" s="56" customFormat="1" ht="21" customHeight="1">
      <c r="A87" s="18"/>
      <c r="B87" s="14"/>
      <c r="C87" s="14"/>
      <c r="D87" s="18"/>
      <c r="E87" s="18"/>
      <c r="F87" s="18"/>
      <c r="G87" s="14"/>
      <c r="H87" s="14"/>
      <c r="I87" s="14"/>
      <c r="J87" s="18"/>
      <c r="K87" s="18"/>
      <c r="L87" s="14"/>
      <c r="M87" s="14"/>
      <c r="N87" s="18"/>
      <c r="O87" s="18"/>
    </row>
    <row r="88" spans="1:15" s="56" customFormat="1" ht="21" customHeight="1">
      <c r="A88" s="18"/>
      <c r="B88" s="14"/>
      <c r="C88" s="14"/>
      <c r="D88" s="18"/>
      <c r="E88" s="18"/>
      <c r="F88" s="18"/>
      <c r="G88" s="14"/>
      <c r="H88" s="14"/>
      <c r="I88" s="14"/>
      <c r="J88" s="18"/>
      <c r="K88" s="18"/>
      <c r="L88" s="14"/>
      <c r="M88" s="14"/>
      <c r="N88" s="18"/>
      <c r="O88" s="18"/>
    </row>
    <row r="89" spans="1:15" s="56" customFormat="1" ht="21" customHeight="1">
      <c r="A89" s="18"/>
      <c r="B89" s="14"/>
      <c r="C89" s="14"/>
      <c r="D89" s="18"/>
      <c r="E89" s="18"/>
      <c r="F89" s="18"/>
      <c r="G89" s="14"/>
      <c r="H89" s="14"/>
      <c r="I89" s="14"/>
      <c r="J89" s="18"/>
      <c r="K89" s="18"/>
      <c r="L89" s="14"/>
      <c r="M89" s="14"/>
      <c r="N89" s="18"/>
      <c r="O89" s="18"/>
    </row>
    <row r="90" spans="1:15" s="56" customFormat="1" ht="21" customHeight="1">
      <c r="A90" s="18"/>
      <c r="B90" s="14"/>
      <c r="C90" s="14"/>
      <c r="D90" s="18"/>
      <c r="E90" s="18"/>
      <c r="F90" s="18"/>
      <c r="G90" s="14"/>
      <c r="H90" s="14"/>
      <c r="I90" s="14"/>
      <c r="J90" s="18"/>
      <c r="K90" s="18"/>
      <c r="L90" s="14"/>
      <c r="M90" s="14"/>
      <c r="N90" s="18"/>
      <c r="O90" s="18"/>
    </row>
    <row r="91" spans="1:15" s="56" customFormat="1" ht="21" customHeight="1">
      <c r="A91" s="18"/>
      <c r="B91" s="14"/>
      <c r="C91" s="14"/>
      <c r="D91" s="18"/>
      <c r="E91" s="18"/>
      <c r="F91" s="18"/>
      <c r="G91" s="14"/>
      <c r="H91" s="14"/>
      <c r="I91" s="14"/>
      <c r="J91" s="18"/>
      <c r="K91" s="18"/>
      <c r="L91" s="14"/>
      <c r="M91" s="14"/>
      <c r="N91" s="18"/>
      <c r="O91" s="18"/>
    </row>
    <row r="92" spans="1:15" s="56" customFormat="1" ht="21" customHeight="1">
      <c r="A92" s="18"/>
      <c r="B92" s="14"/>
      <c r="C92" s="14"/>
      <c r="D92" s="18"/>
      <c r="E92" s="18"/>
      <c r="F92" s="18"/>
      <c r="G92" s="14"/>
      <c r="H92" s="14"/>
      <c r="I92" s="14"/>
      <c r="J92" s="18"/>
      <c r="K92" s="18"/>
      <c r="L92" s="14"/>
      <c r="M92" s="14"/>
      <c r="N92" s="18"/>
      <c r="O92" s="18"/>
    </row>
    <row r="93" spans="1:15" s="56" customFormat="1" ht="21" customHeight="1">
      <c r="A93" s="18"/>
      <c r="B93" s="14"/>
      <c r="C93" s="14"/>
      <c r="D93" s="18"/>
      <c r="E93" s="18"/>
      <c r="F93" s="18"/>
      <c r="G93" s="14"/>
      <c r="H93" s="14"/>
      <c r="I93" s="14"/>
      <c r="J93" s="18"/>
      <c r="K93" s="18"/>
      <c r="L93" s="14"/>
      <c r="M93" s="14"/>
      <c r="N93" s="18"/>
      <c r="O93" s="18"/>
    </row>
    <row r="94" spans="1:15" s="56" customFormat="1" ht="21" customHeight="1">
      <c r="A94" s="18"/>
      <c r="B94" s="14"/>
      <c r="C94" s="14"/>
      <c r="D94" s="18"/>
      <c r="E94" s="18"/>
      <c r="F94" s="18"/>
      <c r="G94" s="14"/>
      <c r="H94" s="14"/>
      <c r="I94" s="14"/>
      <c r="J94" s="18"/>
      <c r="K94" s="18"/>
      <c r="L94" s="14"/>
      <c r="M94" s="14"/>
      <c r="N94" s="18"/>
      <c r="O94" s="18"/>
    </row>
    <row r="95" spans="1:15" s="56" customFormat="1" ht="21" customHeight="1">
      <c r="A95" s="18"/>
      <c r="B95" s="14"/>
      <c r="C95" s="14"/>
      <c r="D95" s="18"/>
      <c r="E95" s="18"/>
      <c r="F95" s="18"/>
      <c r="G95" s="14"/>
      <c r="H95" s="14"/>
      <c r="I95" s="14"/>
      <c r="J95" s="18"/>
      <c r="K95" s="18"/>
      <c r="L95" s="14"/>
      <c r="M95" s="14"/>
      <c r="N95" s="18"/>
      <c r="O95" s="18"/>
    </row>
    <row r="96" spans="1:15" s="56" customFormat="1" ht="21" customHeight="1">
      <c r="A96" s="18"/>
      <c r="B96" s="14"/>
      <c r="C96" s="14"/>
      <c r="D96" s="18"/>
      <c r="E96" s="18"/>
      <c r="F96" s="18"/>
      <c r="G96" s="14"/>
      <c r="H96" s="14"/>
      <c r="I96" s="14"/>
      <c r="J96" s="18"/>
      <c r="K96" s="18"/>
      <c r="L96" s="14"/>
      <c r="M96" s="14"/>
      <c r="N96" s="18"/>
      <c r="O96" s="18"/>
    </row>
    <row r="97" spans="1:15" s="56" customFormat="1" ht="21" customHeight="1">
      <c r="A97" s="18"/>
      <c r="B97" s="14"/>
      <c r="C97" s="14"/>
      <c r="D97" s="18"/>
      <c r="E97" s="18"/>
      <c r="F97" s="18"/>
      <c r="G97" s="14"/>
      <c r="H97" s="14"/>
      <c r="I97" s="14"/>
      <c r="J97" s="18"/>
      <c r="K97" s="18"/>
      <c r="L97" s="14"/>
      <c r="M97" s="14"/>
      <c r="N97" s="18"/>
      <c r="O97" s="18"/>
    </row>
    <row r="98" spans="1:15" s="56" customFormat="1" ht="21" customHeight="1">
      <c r="A98" s="18"/>
      <c r="B98" s="14"/>
      <c r="C98" s="14"/>
      <c r="D98" s="18"/>
      <c r="E98" s="18"/>
      <c r="F98" s="18"/>
      <c r="G98" s="14"/>
      <c r="H98" s="14"/>
      <c r="I98" s="14"/>
      <c r="J98" s="18"/>
      <c r="K98" s="18"/>
      <c r="L98" s="14"/>
      <c r="M98" s="14"/>
      <c r="N98" s="18"/>
      <c r="O98" s="18"/>
    </row>
    <row r="99" spans="1:15" s="56" customFormat="1" ht="21" customHeight="1">
      <c r="A99" s="18"/>
      <c r="B99" s="14"/>
      <c r="C99" s="14"/>
      <c r="D99" s="18"/>
      <c r="E99" s="18"/>
      <c r="F99" s="18"/>
      <c r="G99" s="14"/>
      <c r="H99" s="14"/>
      <c r="I99" s="14"/>
      <c r="J99" s="18"/>
      <c r="K99" s="18"/>
      <c r="L99" s="14"/>
      <c r="M99" s="14"/>
      <c r="N99" s="18"/>
      <c r="O99" s="18"/>
    </row>
    <row r="100" spans="1:15" s="56" customFormat="1" ht="21" customHeight="1">
      <c r="A100" s="18"/>
      <c r="B100" s="14"/>
      <c r="C100" s="14"/>
      <c r="D100" s="18"/>
      <c r="E100" s="18"/>
      <c r="F100" s="18"/>
      <c r="G100" s="14"/>
      <c r="H100" s="14"/>
      <c r="I100" s="14"/>
      <c r="J100" s="18"/>
      <c r="K100" s="18"/>
      <c r="L100" s="14"/>
      <c r="M100" s="14"/>
      <c r="N100" s="18"/>
      <c r="O100" s="18"/>
    </row>
    <row r="101" spans="1:15" s="56" customFormat="1" ht="21" customHeight="1">
      <c r="A101" s="18"/>
      <c r="B101" s="14"/>
      <c r="C101" s="14"/>
      <c r="D101" s="18"/>
      <c r="E101" s="18"/>
      <c r="F101" s="18"/>
      <c r="G101" s="14"/>
      <c r="H101" s="14"/>
      <c r="I101" s="14"/>
      <c r="J101" s="18"/>
      <c r="K101" s="18"/>
      <c r="L101" s="14"/>
      <c r="M101" s="14"/>
      <c r="N101" s="18"/>
      <c r="O101" s="18"/>
    </row>
    <row r="102" spans="1:15" s="56" customFormat="1" ht="21" customHeight="1">
      <c r="A102" s="18"/>
      <c r="B102" s="14"/>
      <c r="C102" s="14"/>
      <c r="D102" s="18"/>
      <c r="E102" s="18"/>
      <c r="F102" s="18"/>
      <c r="G102" s="14"/>
      <c r="H102" s="14"/>
      <c r="I102" s="14"/>
      <c r="J102" s="18"/>
      <c r="K102" s="18"/>
      <c r="L102" s="14"/>
      <c r="M102" s="14"/>
      <c r="N102" s="18"/>
      <c r="O102" s="18"/>
    </row>
    <row r="103" spans="1:15" s="56" customFormat="1" ht="21" customHeight="1">
      <c r="A103" s="18"/>
      <c r="B103" s="14"/>
      <c r="C103" s="14"/>
      <c r="D103" s="18"/>
      <c r="E103" s="18"/>
      <c r="F103" s="18"/>
      <c r="G103" s="14"/>
      <c r="H103" s="14"/>
      <c r="I103" s="14"/>
      <c r="J103" s="18"/>
      <c r="K103" s="18"/>
      <c r="L103" s="14"/>
      <c r="M103" s="14"/>
      <c r="N103" s="18"/>
      <c r="O103" s="18"/>
    </row>
    <row r="104" spans="1:15" s="56" customFormat="1" ht="21" customHeight="1">
      <c r="A104" s="18"/>
      <c r="B104" s="14"/>
      <c r="C104" s="14"/>
      <c r="D104" s="18"/>
      <c r="E104" s="18"/>
      <c r="F104" s="18"/>
      <c r="G104" s="14"/>
      <c r="H104" s="14"/>
      <c r="I104" s="14"/>
      <c r="J104" s="18"/>
      <c r="K104" s="18"/>
      <c r="L104" s="14"/>
      <c r="M104" s="14"/>
      <c r="N104" s="18"/>
      <c r="O104" s="18"/>
    </row>
    <row r="105" spans="1:15" s="56" customFormat="1" ht="21" customHeight="1">
      <c r="A105" s="18"/>
      <c r="B105" s="14"/>
      <c r="C105" s="14"/>
      <c r="D105" s="18"/>
      <c r="E105" s="18"/>
      <c r="F105" s="18"/>
      <c r="G105" s="14"/>
      <c r="H105" s="14"/>
      <c r="I105" s="14"/>
      <c r="J105" s="18"/>
      <c r="K105" s="18"/>
      <c r="L105" s="14"/>
      <c r="M105" s="14"/>
      <c r="N105" s="18"/>
      <c r="O105" s="18"/>
    </row>
    <row r="106" spans="1:15" s="56" customFormat="1" ht="21" customHeight="1">
      <c r="A106" s="18"/>
      <c r="B106" s="14"/>
      <c r="C106" s="14"/>
      <c r="D106" s="18"/>
      <c r="E106" s="18"/>
      <c r="F106" s="18"/>
      <c r="G106" s="14"/>
      <c r="H106" s="14"/>
      <c r="I106" s="14"/>
      <c r="J106" s="18"/>
      <c r="K106" s="18"/>
      <c r="L106" s="14"/>
      <c r="M106" s="14"/>
      <c r="N106" s="18"/>
      <c r="O106" s="18"/>
    </row>
    <row r="107" spans="1:15" s="56" customFormat="1" ht="21" customHeight="1">
      <c r="A107" s="18"/>
      <c r="B107" s="14"/>
      <c r="C107" s="14"/>
      <c r="D107" s="18"/>
      <c r="E107" s="18"/>
      <c r="F107" s="18"/>
      <c r="G107" s="14"/>
      <c r="H107" s="14"/>
      <c r="I107" s="14"/>
      <c r="J107" s="18"/>
      <c r="K107" s="18"/>
      <c r="L107" s="14"/>
      <c r="M107" s="14"/>
      <c r="N107" s="18"/>
      <c r="O107" s="18"/>
    </row>
    <row r="108" spans="1:15" s="56" customFormat="1" ht="21" customHeight="1">
      <c r="A108" s="18"/>
      <c r="B108" s="14"/>
      <c r="C108" s="14"/>
      <c r="D108" s="18"/>
      <c r="E108" s="18"/>
      <c r="F108" s="18"/>
      <c r="G108" s="14"/>
      <c r="H108" s="14"/>
      <c r="I108" s="14"/>
      <c r="J108" s="18"/>
      <c r="K108" s="18"/>
      <c r="L108" s="14"/>
      <c r="M108" s="14"/>
      <c r="N108" s="18"/>
      <c r="O108" s="18"/>
    </row>
    <row r="109" spans="1:15" s="56" customFormat="1" ht="21" customHeight="1">
      <c r="A109" s="18"/>
      <c r="B109" s="14"/>
      <c r="C109" s="14"/>
      <c r="D109" s="18"/>
      <c r="E109" s="18"/>
      <c r="F109" s="18"/>
      <c r="G109" s="14"/>
      <c r="H109" s="14"/>
      <c r="I109" s="14"/>
      <c r="J109" s="18"/>
      <c r="K109" s="18"/>
      <c r="L109" s="14"/>
      <c r="M109" s="14"/>
      <c r="N109" s="18"/>
      <c r="O109" s="18"/>
    </row>
    <row r="110" spans="1:15" s="56" customFormat="1" ht="21" customHeight="1">
      <c r="A110" s="18"/>
      <c r="B110" s="14"/>
      <c r="C110" s="14"/>
      <c r="D110" s="18"/>
      <c r="E110" s="18"/>
      <c r="F110" s="18"/>
      <c r="G110" s="14"/>
      <c r="H110" s="14"/>
      <c r="I110" s="14"/>
      <c r="J110" s="18"/>
      <c r="K110" s="18"/>
      <c r="L110" s="14"/>
      <c r="M110" s="14"/>
      <c r="N110" s="18"/>
      <c r="O110" s="18"/>
    </row>
    <row r="111" spans="1:15" s="56" customFormat="1" ht="21" customHeight="1">
      <c r="A111" s="18"/>
      <c r="B111" s="14"/>
      <c r="C111" s="14"/>
      <c r="D111" s="18"/>
      <c r="E111" s="18"/>
      <c r="F111" s="18"/>
      <c r="G111" s="14"/>
      <c r="H111" s="14"/>
      <c r="I111" s="14"/>
      <c r="J111" s="18"/>
      <c r="K111" s="18"/>
      <c r="L111" s="14"/>
      <c r="M111" s="14"/>
      <c r="N111" s="18"/>
      <c r="O111" s="18"/>
    </row>
    <row r="112" spans="1:15" s="56" customFormat="1" ht="21" customHeight="1">
      <c r="A112" s="18"/>
      <c r="B112" s="14"/>
      <c r="C112" s="14"/>
      <c r="D112" s="18"/>
      <c r="E112" s="18"/>
      <c r="F112" s="18"/>
      <c r="G112" s="14"/>
      <c r="H112" s="14"/>
      <c r="I112" s="14"/>
      <c r="J112" s="18"/>
      <c r="K112" s="18"/>
      <c r="L112" s="14"/>
      <c r="M112" s="14"/>
      <c r="N112" s="18"/>
      <c r="O112" s="18"/>
    </row>
    <row r="113" spans="1:15" s="56" customFormat="1" ht="21" customHeight="1">
      <c r="A113" s="18"/>
      <c r="B113" s="14"/>
      <c r="C113" s="14"/>
      <c r="D113" s="18"/>
      <c r="E113" s="18"/>
      <c r="F113" s="18"/>
      <c r="G113" s="14"/>
      <c r="H113" s="14"/>
      <c r="I113" s="14"/>
      <c r="J113" s="18"/>
      <c r="K113" s="18"/>
      <c r="L113" s="14"/>
      <c r="M113" s="14"/>
      <c r="N113" s="18"/>
      <c r="O113" s="18"/>
    </row>
    <row r="114" spans="1:15" s="56" customFormat="1" ht="21" customHeight="1">
      <c r="A114" s="18"/>
      <c r="B114" s="14"/>
      <c r="C114" s="14"/>
      <c r="D114" s="18"/>
      <c r="E114" s="18"/>
      <c r="F114" s="18"/>
      <c r="G114" s="14"/>
      <c r="H114" s="14"/>
      <c r="I114" s="14"/>
      <c r="J114" s="18"/>
      <c r="K114" s="18"/>
      <c r="L114" s="14"/>
      <c r="M114" s="14"/>
      <c r="N114" s="18"/>
      <c r="O114" s="18"/>
    </row>
    <row r="115" spans="1:15" s="56" customFormat="1" ht="21" customHeight="1">
      <c r="A115" s="18"/>
      <c r="B115" s="14"/>
      <c r="C115" s="14"/>
      <c r="D115" s="18"/>
      <c r="E115" s="18"/>
      <c r="F115" s="18"/>
      <c r="G115" s="14"/>
      <c r="H115" s="14"/>
      <c r="I115" s="14"/>
      <c r="J115" s="18"/>
      <c r="K115" s="18"/>
      <c r="L115" s="14"/>
      <c r="M115" s="14"/>
      <c r="N115" s="18"/>
      <c r="O115" s="18"/>
    </row>
    <row r="116" spans="1:15" s="56" customFormat="1" ht="21" customHeight="1">
      <c r="A116" s="18"/>
      <c r="B116" s="14"/>
      <c r="C116" s="14"/>
      <c r="D116" s="18"/>
      <c r="E116" s="18"/>
      <c r="F116" s="18"/>
      <c r="G116" s="14"/>
      <c r="H116" s="14"/>
      <c r="I116" s="14"/>
      <c r="J116" s="18"/>
      <c r="K116" s="18"/>
      <c r="L116" s="14"/>
      <c r="M116" s="14"/>
      <c r="N116" s="18"/>
      <c r="O116" s="18"/>
    </row>
    <row r="117" spans="1:15" s="56" customFormat="1" ht="21" customHeight="1">
      <c r="A117" s="18"/>
      <c r="B117" s="14"/>
      <c r="C117" s="14"/>
      <c r="D117" s="18"/>
      <c r="E117" s="18"/>
      <c r="F117" s="18"/>
      <c r="G117" s="14"/>
      <c r="H117" s="14"/>
      <c r="I117" s="14"/>
      <c r="J117" s="18"/>
      <c r="K117" s="18"/>
      <c r="L117" s="14"/>
      <c r="M117" s="14"/>
      <c r="N117" s="18"/>
      <c r="O117" s="18"/>
    </row>
    <row r="118" spans="1:15" s="56" customFormat="1" ht="21" customHeight="1">
      <c r="A118" s="18"/>
      <c r="B118" s="14"/>
      <c r="C118" s="14"/>
      <c r="D118" s="18"/>
      <c r="E118" s="18"/>
      <c r="F118" s="18"/>
      <c r="G118" s="14"/>
      <c r="H118" s="14"/>
      <c r="I118" s="14"/>
      <c r="J118" s="18"/>
      <c r="K118" s="18"/>
      <c r="L118" s="14"/>
      <c r="M118" s="14"/>
      <c r="N118" s="18"/>
      <c r="O118" s="18"/>
    </row>
    <row r="119" spans="1:15" s="56" customFormat="1" ht="21" customHeight="1">
      <c r="A119" s="18"/>
      <c r="B119" s="14"/>
      <c r="C119" s="14"/>
      <c r="D119" s="18"/>
      <c r="E119" s="18"/>
      <c r="F119" s="18"/>
      <c r="G119" s="14"/>
      <c r="H119" s="14"/>
      <c r="I119" s="14"/>
      <c r="J119" s="18"/>
      <c r="K119" s="18"/>
      <c r="L119" s="14"/>
      <c r="M119" s="14"/>
      <c r="N119" s="18"/>
      <c r="O119" s="18"/>
    </row>
    <row r="120" spans="1:15" s="56" customFormat="1" ht="21" customHeight="1">
      <c r="A120" s="18"/>
      <c r="B120" s="14"/>
      <c r="C120" s="14"/>
      <c r="D120" s="18"/>
      <c r="E120" s="18"/>
      <c r="F120" s="18"/>
      <c r="G120" s="14"/>
      <c r="H120" s="14"/>
      <c r="I120" s="14"/>
      <c r="J120" s="18"/>
      <c r="K120" s="18"/>
      <c r="L120" s="14"/>
      <c r="M120" s="14"/>
      <c r="N120" s="18"/>
      <c r="O120" s="18"/>
    </row>
    <row r="121" spans="1:15" s="56" customFormat="1" ht="21" customHeight="1">
      <c r="A121" s="18"/>
      <c r="B121" s="14"/>
      <c r="C121" s="14"/>
      <c r="D121" s="18"/>
      <c r="E121" s="18"/>
      <c r="F121" s="18"/>
      <c r="G121" s="14"/>
      <c r="H121" s="14"/>
      <c r="I121" s="14"/>
      <c r="J121" s="18"/>
      <c r="K121" s="18"/>
      <c r="L121" s="14"/>
      <c r="M121" s="14"/>
      <c r="N121" s="18"/>
      <c r="O121" s="18"/>
    </row>
    <row r="122" spans="1:15" s="56" customFormat="1" ht="21" customHeight="1">
      <c r="A122" s="18"/>
      <c r="B122" s="14"/>
      <c r="C122" s="14"/>
      <c r="D122" s="18"/>
      <c r="E122" s="18"/>
      <c r="F122" s="18"/>
      <c r="G122" s="14"/>
      <c r="H122" s="14"/>
      <c r="I122" s="14"/>
      <c r="J122" s="18"/>
      <c r="K122" s="18"/>
      <c r="L122" s="14"/>
      <c r="M122" s="14"/>
      <c r="N122" s="18"/>
      <c r="O122" s="18"/>
    </row>
    <row r="123" spans="1:15" s="56" customFormat="1" ht="21" customHeight="1">
      <c r="A123" s="18"/>
      <c r="B123" s="14"/>
      <c r="C123" s="14"/>
      <c r="D123" s="18"/>
      <c r="E123" s="18"/>
      <c r="F123" s="18"/>
      <c r="G123" s="14"/>
      <c r="H123" s="14"/>
      <c r="I123" s="14"/>
      <c r="J123" s="18"/>
      <c r="K123" s="18"/>
      <c r="L123" s="14"/>
      <c r="M123" s="14"/>
      <c r="N123" s="18"/>
      <c r="O123" s="18"/>
    </row>
    <row r="124" spans="1:15" s="56" customFormat="1" ht="21" customHeight="1">
      <c r="A124" s="18"/>
      <c r="B124" s="14"/>
      <c r="C124" s="14"/>
      <c r="D124" s="18"/>
      <c r="E124" s="18"/>
      <c r="F124" s="18"/>
      <c r="G124" s="14"/>
      <c r="H124" s="14"/>
      <c r="I124" s="14"/>
      <c r="J124" s="18"/>
      <c r="K124" s="18"/>
      <c r="L124" s="14"/>
      <c r="M124" s="14"/>
      <c r="N124" s="18"/>
      <c r="O124" s="18"/>
    </row>
    <row r="125" spans="1:15" s="56" customFormat="1" ht="21" customHeight="1">
      <c r="A125" s="18"/>
      <c r="B125" s="14"/>
      <c r="C125" s="14"/>
      <c r="D125" s="18"/>
      <c r="E125" s="18"/>
      <c r="F125" s="18"/>
      <c r="G125" s="14"/>
      <c r="H125" s="14"/>
      <c r="I125" s="14"/>
      <c r="J125" s="18"/>
      <c r="K125" s="18"/>
      <c r="L125" s="14"/>
      <c r="M125" s="14"/>
      <c r="N125" s="18"/>
      <c r="O125" s="18"/>
    </row>
    <row r="126" spans="1:15" s="56" customFormat="1" ht="21" customHeight="1">
      <c r="A126" s="18"/>
      <c r="B126" s="14"/>
      <c r="C126" s="14"/>
      <c r="D126" s="18"/>
      <c r="E126" s="18"/>
      <c r="F126" s="18"/>
      <c r="G126" s="14"/>
      <c r="H126" s="14"/>
      <c r="I126" s="14"/>
      <c r="J126" s="18"/>
      <c r="K126" s="18"/>
      <c r="L126" s="14"/>
      <c r="M126" s="14"/>
      <c r="N126" s="18"/>
      <c r="O126" s="18"/>
    </row>
    <row r="127" spans="1:15" s="56" customFormat="1" ht="21" customHeight="1">
      <c r="A127" s="18"/>
      <c r="B127" s="14"/>
      <c r="C127" s="14"/>
      <c r="D127" s="18"/>
      <c r="E127" s="18"/>
      <c r="F127" s="18"/>
      <c r="G127" s="14"/>
      <c r="H127" s="14"/>
      <c r="I127" s="14"/>
      <c r="J127" s="18"/>
      <c r="K127" s="18"/>
      <c r="L127" s="14"/>
      <c r="M127" s="14"/>
      <c r="N127" s="18"/>
      <c r="O127" s="18"/>
    </row>
    <row r="128" spans="1:15" s="56" customFormat="1" ht="21" customHeight="1">
      <c r="A128" s="18"/>
      <c r="B128" s="14"/>
      <c r="C128" s="14"/>
      <c r="D128" s="18"/>
      <c r="E128" s="18"/>
      <c r="F128" s="18"/>
      <c r="G128" s="14"/>
      <c r="H128" s="14"/>
      <c r="I128" s="14"/>
      <c r="J128" s="18"/>
      <c r="K128" s="18"/>
      <c r="L128" s="14"/>
      <c r="M128" s="14"/>
      <c r="N128" s="18"/>
      <c r="O128" s="18"/>
    </row>
    <row r="129" spans="1:15" s="56" customFormat="1" ht="21" customHeight="1">
      <c r="A129" s="18"/>
      <c r="B129" s="14"/>
      <c r="C129" s="14"/>
      <c r="D129" s="18"/>
      <c r="E129" s="18"/>
      <c r="F129" s="18"/>
      <c r="G129" s="14"/>
      <c r="H129" s="14"/>
      <c r="I129" s="14"/>
      <c r="J129" s="18"/>
      <c r="K129" s="18"/>
      <c r="L129" s="14"/>
      <c r="M129" s="14"/>
      <c r="N129" s="18"/>
      <c r="O129" s="18"/>
    </row>
    <row r="130" spans="1:15" s="56" customFormat="1" ht="21" customHeight="1">
      <c r="A130" s="18"/>
      <c r="B130" s="14"/>
      <c r="C130" s="14"/>
      <c r="D130" s="18"/>
      <c r="E130" s="18"/>
      <c r="F130" s="18"/>
      <c r="G130" s="14"/>
      <c r="H130" s="14"/>
      <c r="I130" s="14"/>
      <c r="J130" s="18"/>
      <c r="K130" s="18"/>
      <c r="L130" s="14"/>
      <c r="M130" s="14"/>
      <c r="N130" s="18"/>
      <c r="O130" s="18"/>
    </row>
    <row r="131" spans="1:15" s="56" customFormat="1" ht="21" customHeight="1">
      <c r="A131" s="18"/>
      <c r="B131" s="14"/>
      <c r="C131" s="14"/>
      <c r="D131" s="18"/>
      <c r="E131" s="18"/>
      <c r="F131" s="18"/>
      <c r="G131" s="14"/>
      <c r="H131" s="14"/>
      <c r="I131" s="14"/>
      <c r="J131" s="18"/>
      <c r="K131" s="18"/>
      <c r="L131" s="14"/>
      <c r="M131" s="14"/>
      <c r="N131" s="18"/>
      <c r="O131" s="18"/>
    </row>
    <row r="132" spans="1:15" s="56" customFormat="1" ht="21" customHeight="1">
      <c r="A132" s="18"/>
      <c r="B132" s="14"/>
      <c r="C132" s="14"/>
      <c r="D132" s="18"/>
      <c r="E132" s="18"/>
      <c r="F132" s="18"/>
      <c r="G132" s="14"/>
      <c r="H132" s="14"/>
      <c r="I132" s="14"/>
      <c r="J132" s="18"/>
      <c r="K132" s="18"/>
      <c r="L132" s="14"/>
      <c r="M132" s="14"/>
      <c r="N132" s="18"/>
      <c r="O132" s="18"/>
    </row>
    <row r="133" spans="1:15" s="56" customFormat="1" ht="21" customHeight="1">
      <c r="A133" s="18"/>
      <c r="B133" s="14"/>
      <c r="C133" s="14"/>
      <c r="D133" s="18"/>
      <c r="E133" s="18"/>
      <c r="F133" s="18"/>
      <c r="G133" s="14"/>
      <c r="H133" s="14"/>
      <c r="I133" s="14"/>
      <c r="J133" s="18"/>
      <c r="K133" s="18"/>
      <c r="L133" s="14"/>
      <c r="M133" s="14"/>
      <c r="N133" s="18"/>
      <c r="O133" s="18"/>
    </row>
    <row r="134" spans="1:15" s="56" customFormat="1" ht="21" customHeight="1">
      <c r="A134" s="18"/>
      <c r="B134" s="14"/>
      <c r="C134" s="14"/>
      <c r="D134" s="18"/>
      <c r="E134" s="18"/>
      <c r="F134" s="18"/>
      <c r="G134" s="14"/>
      <c r="H134" s="14"/>
      <c r="I134" s="14"/>
      <c r="J134" s="18"/>
      <c r="K134" s="18"/>
      <c r="L134" s="14"/>
      <c r="M134" s="14"/>
      <c r="N134" s="18"/>
      <c r="O134" s="18"/>
    </row>
    <row r="135" spans="1:15" s="56" customFormat="1" ht="21" customHeight="1">
      <c r="A135" s="18"/>
      <c r="B135" s="14"/>
      <c r="C135" s="14"/>
      <c r="D135" s="18"/>
      <c r="E135" s="18"/>
      <c r="F135" s="18"/>
      <c r="G135" s="14"/>
      <c r="H135" s="14"/>
      <c r="I135" s="14"/>
      <c r="J135" s="18"/>
      <c r="K135" s="18"/>
      <c r="L135" s="14"/>
      <c r="M135" s="14"/>
      <c r="N135" s="18"/>
      <c r="O135" s="18"/>
    </row>
    <row r="136" spans="1:15" s="56" customFormat="1" ht="21" customHeight="1">
      <c r="A136" s="18"/>
      <c r="B136" s="14"/>
      <c r="C136" s="14"/>
      <c r="D136" s="18"/>
      <c r="E136" s="18"/>
      <c r="F136" s="18"/>
      <c r="G136" s="14"/>
      <c r="H136" s="14"/>
      <c r="I136" s="14"/>
      <c r="J136" s="18"/>
      <c r="K136" s="18"/>
      <c r="L136" s="14"/>
      <c r="M136" s="14"/>
      <c r="N136" s="18"/>
      <c r="O136" s="18"/>
    </row>
    <row r="137" spans="1:15" s="56" customFormat="1" ht="21" customHeight="1">
      <c r="A137" s="18"/>
      <c r="B137" s="14"/>
      <c r="C137" s="14"/>
      <c r="D137" s="18"/>
      <c r="E137" s="18"/>
      <c r="F137" s="18"/>
      <c r="G137" s="14"/>
      <c r="H137" s="14"/>
      <c r="I137" s="14"/>
      <c r="J137" s="18"/>
      <c r="K137" s="18"/>
      <c r="L137" s="14"/>
      <c r="M137" s="14"/>
      <c r="N137" s="18"/>
      <c r="O137" s="18"/>
    </row>
    <row r="138" spans="1:15" s="56" customFormat="1" ht="21" customHeight="1">
      <c r="A138" s="18"/>
      <c r="B138" s="14"/>
      <c r="C138" s="14"/>
      <c r="D138" s="18"/>
      <c r="E138" s="18"/>
      <c r="F138" s="18"/>
      <c r="G138" s="14"/>
      <c r="H138" s="14"/>
      <c r="I138" s="14"/>
      <c r="J138" s="18"/>
      <c r="K138" s="18"/>
      <c r="L138" s="14"/>
      <c r="M138" s="14"/>
      <c r="N138" s="18"/>
      <c r="O138" s="18"/>
    </row>
    <row r="139" spans="1:15" s="56" customFormat="1" ht="21" customHeight="1">
      <c r="A139" s="18"/>
      <c r="B139" s="14"/>
      <c r="C139" s="14"/>
      <c r="D139" s="18"/>
      <c r="E139" s="18"/>
      <c r="F139" s="18"/>
      <c r="G139" s="14"/>
      <c r="H139" s="14"/>
      <c r="I139" s="14"/>
      <c r="J139" s="18"/>
      <c r="K139" s="18"/>
      <c r="L139" s="14"/>
      <c r="M139" s="14"/>
      <c r="N139" s="18"/>
      <c r="O139" s="18"/>
    </row>
    <row r="140" spans="1:15" s="56" customFormat="1" ht="21" customHeight="1">
      <c r="A140" s="18"/>
      <c r="B140" s="14"/>
      <c r="C140" s="14"/>
      <c r="D140" s="18"/>
      <c r="E140" s="18"/>
      <c r="F140" s="18"/>
      <c r="G140" s="14"/>
      <c r="H140" s="14"/>
      <c r="I140" s="14"/>
      <c r="J140" s="18"/>
      <c r="K140" s="18"/>
      <c r="L140" s="14"/>
      <c r="M140" s="14"/>
      <c r="N140" s="18"/>
      <c r="O140" s="18"/>
    </row>
    <row r="141" spans="1:15" s="56" customFormat="1" ht="21" customHeight="1">
      <c r="A141" s="18"/>
      <c r="B141" s="14"/>
      <c r="C141" s="14"/>
      <c r="D141" s="18"/>
      <c r="E141" s="18"/>
      <c r="F141" s="18"/>
      <c r="G141" s="14"/>
      <c r="H141" s="14"/>
      <c r="I141" s="14"/>
      <c r="J141" s="18"/>
      <c r="K141" s="18"/>
      <c r="L141" s="14"/>
      <c r="M141" s="14"/>
      <c r="N141" s="18"/>
      <c r="O141" s="18"/>
    </row>
    <row r="142" spans="1:15" s="56" customFormat="1" ht="21" customHeight="1">
      <c r="A142" s="18"/>
      <c r="B142" s="14"/>
      <c r="C142" s="14"/>
      <c r="D142" s="18"/>
      <c r="E142" s="18"/>
      <c r="F142" s="18"/>
      <c r="G142" s="14"/>
      <c r="H142" s="14"/>
      <c r="I142" s="14"/>
      <c r="J142" s="18"/>
      <c r="K142" s="18"/>
      <c r="L142" s="14"/>
      <c r="M142" s="14"/>
      <c r="N142" s="18"/>
      <c r="O142" s="18"/>
    </row>
    <row r="143" spans="1:15" s="56" customFormat="1" ht="21" customHeight="1">
      <c r="A143" s="18"/>
      <c r="B143" s="14"/>
      <c r="C143" s="14"/>
      <c r="D143" s="18"/>
      <c r="E143" s="18"/>
      <c r="F143" s="18"/>
      <c r="G143" s="14"/>
      <c r="H143" s="14"/>
      <c r="I143" s="14"/>
      <c r="J143" s="18"/>
      <c r="K143" s="18"/>
      <c r="L143" s="14"/>
      <c r="M143" s="14"/>
      <c r="N143" s="18"/>
      <c r="O143" s="18"/>
    </row>
    <row r="144" spans="1:15" s="56" customFormat="1" ht="21" customHeight="1">
      <c r="A144" s="18"/>
      <c r="B144" s="14"/>
      <c r="C144" s="14"/>
      <c r="D144" s="18"/>
      <c r="E144" s="18"/>
      <c r="F144" s="18"/>
      <c r="G144" s="14"/>
      <c r="H144" s="14"/>
      <c r="I144" s="14"/>
      <c r="J144" s="18"/>
      <c r="K144" s="18"/>
      <c r="L144" s="14"/>
      <c r="M144" s="14"/>
      <c r="N144" s="18"/>
      <c r="O144" s="18"/>
    </row>
    <row r="145" spans="1:15" s="56" customFormat="1" ht="21" customHeight="1">
      <c r="A145" s="18"/>
      <c r="B145" s="14"/>
      <c r="C145" s="14"/>
      <c r="D145" s="18"/>
      <c r="E145" s="18"/>
      <c r="F145" s="18"/>
      <c r="G145" s="14"/>
      <c r="H145" s="14"/>
      <c r="I145" s="14"/>
      <c r="J145" s="18"/>
      <c r="K145" s="18"/>
      <c r="L145" s="14"/>
      <c r="M145" s="14"/>
      <c r="N145" s="18"/>
      <c r="O145" s="18"/>
    </row>
    <row r="146" spans="1:15" s="56" customFormat="1" ht="21" customHeight="1">
      <c r="A146" s="18"/>
      <c r="B146" s="14"/>
      <c r="C146" s="14"/>
      <c r="D146" s="18"/>
      <c r="E146" s="18"/>
      <c r="F146" s="18"/>
      <c r="G146" s="14"/>
      <c r="H146" s="14"/>
      <c r="I146" s="14"/>
      <c r="J146" s="18"/>
      <c r="K146" s="18"/>
      <c r="L146" s="14"/>
      <c r="M146" s="14"/>
      <c r="N146" s="18"/>
      <c r="O146" s="18"/>
    </row>
    <row r="147" spans="1:15" s="56" customFormat="1" ht="21" customHeight="1">
      <c r="A147" s="18"/>
      <c r="B147" s="14"/>
      <c r="C147" s="14"/>
      <c r="D147" s="18"/>
      <c r="E147" s="18"/>
      <c r="F147" s="18"/>
      <c r="G147" s="14"/>
      <c r="H147" s="14"/>
      <c r="I147" s="14"/>
      <c r="J147" s="18"/>
      <c r="K147" s="18"/>
      <c r="L147" s="14"/>
      <c r="M147" s="14"/>
      <c r="N147" s="18"/>
      <c r="O147" s="18"/>
    </row>
    <row r="148" spans="1:15" s="56" customFormat="1" ht="21" customHeight="1">
      <c r="A148" s="18"/>
      <c r="B148" s="14"/>
      <c r="C148" s="14"/>
      <c r="D148" s="18"/>
      <c r="E148" s="18"/>
      <c r="F148" s="18"/>
      <c r="G148" s="14"/>
      <c r="H148" s="14"/>
      <c r="I148" s="14"/>
      <c r="J148" s="18"/>
      <c r="K148" s="18"/>
      <c r="L148" s="14"/>
      <c r="M148" s="14"/>
      <c r="N148" s="18"/>
      <c r="O148" s="18"/>
    </row>
    <row r="149" spans="1:15" s="56" customFormat="1" ht="21" customHeight="1">
      <c r="A149" s="18"/>
      <c r="B149" s="14"/>
      <c r="C149" s="14"/>
      <c r="D149" s="18"/>
      <c r="E149" s="18"/>
      <c r="F149" s="18"/>
      <c r="G149" s="14"/>
      <c r="H149" s="14"/>
      <c r="I149" s="14"/>
      <c r="J149" s="18"/>
      <c r="K149" s="18"/>
      <c r="L149" s="14"/>
      <c r="M149" s="14"/>
      <c r="N149" s="18"/>
      <c r="O149" s="18"/>
    </row>
    <row r="150" spans="1:15" s="56" customFormat="1" ht="21" customHeight="1">
      <c r="A150" s="18"/>
      <c r="B150" s="14"/>
      <c r="C150" s="14"/>
      <c r="D150" s="18"/>
      <c r="E150" s="18"/>
      <c r="F150" s="18"/>
      <c r="G150" s="14"/>
      <c r="H150" s="14"/>
      <c r="I150" s="14"/>
      <c r="J150" s="18"/>
      <c r="K150" s="18"/>
      <c r="L150" s="14"/>
      <c r="M150" s="14"/>
      <c r="N150" s="18"/>
      <c r="O150" s="18"/>
    </row>
    <row r="151" spans="1:15" s="56" customFormat="1" ht="21" customHeight="1">
      <c r="A151" s="18"/>
      <c r="B151" s="14"/>
      <c r="C151" s="14"/>
      <c r="D151" s="18"/>
      <c r="E151" s="18"/>
      <c r="F151" s="18"/>
      <c r="G151" s="14"/>
      <c r="H151" s="14"/>
      <c r="I151" s="14"/>
      <c r="J151" s="18"/>
      <c r="K151" s="18"/>
      <c r="L151" s="14"/>
      <c r="M151" s="14"/>
      <c r="N151" s="18"/>
      <c r="O151" s="18"/>
    </row>
    <row r="152" spans="1:15" s="56" customFormat="1" ht="21" customHeight="1">
      <c r="A152" s="18"/>
      <c r="B152" s="14"/>
      <c r="C152" s="14"/>
      <c r="D152" s="18"/>
      <c r="E152" s="18"/>
      <c r="F152" s="18"/>
      <c r="G152" s="14"/>
      <c r="H152" s="14"/>
      <c r="I152" s="14"/>
      <c r="J152" s="18"/>
      <c r="K152" s="18"/>
      <c r="L152" s="14"/>
      <c r="M152" s="14"/>
      <c r="N152" s="18"/>
      <c r="O152" s="18"/>
    </row>
    <row r="153" spans="1:15" s="56" customFormat="1" ht="21" customHeight="1">
      <c r="A153" s="18"/>
      <c r="B153" s="14"/>
      <c r="C153" s="14"/>
      <c r="D153" s="18"/>
      <c r="E153" s="18"/>
      <c r="F153" s="18"/>
      <c r="G153" s="14"/>
      <c r="H153" s="14"/>
      <c r="I153" s="14"/>
      <c r="J153" s="18"/>
      <c r="K153" s="18"/>
      <c r="L153" s="14"/>
      <c r="M153" s="14"/>
      <c r="N153" s="18"/>
      <c r="O153" s="18"/>
    </row>
    <row r="154" spans="1:15" s="56" customFormat="1" ht="21" customHeight="1">
      <c r="A154" s="18"/>
      <c r="B154" s="14"/>
      <c r="C154" s="14"/>
      <c r="D154" s="18"/>
      <c r="E154" s="18"/>
      <c r="F154" s="18"/>
      <c r="G154" s="14"/>
      <c r="H154" s="14"/>
      <c r="I154" s="14"/>
      <c r="J154" s="18"/>
      <c r="K154" s="18"/>
      <c r="L154" s="14"/>
      <c r="M154" s="14"/>
      <c r="N154" s="18"/>
      <c r="O154" s="18"/>
    </row>
    <row r="155" spans="1:15" s="56" customFormat="1" ht="21" customHeight="1">
      <c r="A155" s="18"/>
      <c r="B155" s="14"/>
      <c r="C155" s="14"/>
      <c r="D155" s="18"/>
      <c r="E155" s="18"/>
      <c r="F155" s="18"/>
      <c r="G155" s="14"/>
      <c r="H155" s="14"/>
      <c r="I155" s="14"/>
      <c r="J155" s="18"/>
      <c r="K155" s="18"/>
      <c r="L155" s="14"/>
      <c r="M155" s="14"/>
      <c r="N155" s="18"/>
      <c r="O155" s="18"/>
    </row>
    <row r="156" spans="1:15" s="56" customFormat="1" ht="21" customHeight="1">
      <c r="A156" s="18"/>
      <c r="B156" s="14"/>
      <c r="C156" s="14"/>
      <c r="D156" s="18"/>
      <c r="E156" s="18"/>
      <c r="F156" s="18"/>
      <c r="G156" s="14"/>
      <c r="H156" s="14"/>
      <c r="I156" s="14"/>
      <c r="J156" s="18"/>
      <c r="K156" s="18"/>
      <c r="L156" s="14"/>
      <c r="M156" s="14"/>
      <c r="N156" s="18"/>
      <c r="O156" s="18"/>
    </row>
    <row r="157" spans="1:15" s="56" customFormat="1" ht="21" customHeight="1">
      <c r="A157" s="18"/>
      <c r="B157" s="14"/>
      <c r="C157" s="14"/>
      <c r="D157" s="18"/>
      <c r="E157" s="18"/>
      <c r="F157" s="18"/>
      <c r="G157" s="14"/>
      <c r="H157" s="14"/>
      <c r="I157" s="14"/>
      <c r="J157" s="18"/>
      <c r="K157" s="18"/>
      <c r="L157" s="14"/>
      <c r="M157" s="14"/>
      <c r="N157" s="18"/>
      <c r="O157" s="18"/>
    </row>
    <row r="158" spans="1:15" s="56" customFormat="1" ht="21" customHeight="1">
      <c r="A158" s="18"/>
      <c r="B158" s="14"/>
      <c r="C158" s="14"/>
      <c r="D158" s="18"/>
      <c r="E158" s="18"/>
      <c r="F158" s="18"/>
      <c r="G158" s="14"/>
      <c r="H158" s="14"/>
      <c r="I158" s="14"/>
      <c r="J158" s="18"/>
      <c r="K158" s="18"/>
      <c r="L158" s="14"/>
      <c r="M158" s="14"/>
      <c r="N158" s="18"/>
      <c r="O158" s="18"/>
    </row>
    <row r="159" spans="1:15" s="56" customFormat="1" ht="21" customHeight="1">
      <c r="A159" s="18"/>
      <c r="B159" s="14"/>
      <c r="C159" s="14"/>
      <c r="D159" s="18"/>
      <c r="E159" s="18"/>
      <c r="F159" s="18"/>
      <c r="G159" s="14"/>
      <c r="H159" s="14"/>
      <c r="I159" s="14"/>
      <c r="J159" s="18"/>
      <c r="K159" s="18"/>
      <c r="L159" s="14"/>
      <c r="M159" s="14"/>
      <c r="N159" s="18"/>
      <c r="O159" s="18"/>
    </row>
    <row r="160" spans="1:15" s="56" customFormat="1" ht="21" customHeight="1">
      <c r="A160" s="18"/>
      <c r="B160" s="14"/>
      <c r="C160" s="14"/>
      <c r="D160" s="18"/>
      <c r="E160" s="18"/>
      <c r="F160" s="18"/>
      <c r="G160" s="14"/>
      <c r="H160" s="14"/>
      <c r="I160" s="14"/>
      <c r="J160" s="18"/>
      <c r="K160" s="18"/>
      <c r="L160" s="14"/>
      <c r="M160" s="14"/>
      <c r="N160" s="18"/>
      <c r="O160" s="18"/>
    </row>
    <row r="161" spans="1:15" s="56" customFormat="1" ht="21" customHeight="1">
      <c r="A161" s="18"/>
      <c r="B161" s="14"/>
      <c r="C161" s="14"/>
      <c r="D161" s="18"/>
      <c r="E161" s="18"/>
      <c r="F161" s="18"/>
      <c r="G161" s="14"/>
      <c r="H161" s="14"/>
      <c r="I161" s="14"/>
      <c r="J161" s="18"/>
      <c r="K161" s="18"/>
      <c r="L161" s="14"/>
      <c r="M161" s="14"/>
      <c r="N161" s="18"/>
      <c r="O161" s="18"/>
    </row>
    <row r="162" spans="1:15" s="56" customFormat="1" ht="21" customHeight="1">
      <c r="A162" s="18"/>
      <c r="B162" s="14"/>
      <c r="C162" s="14"/>
      <c r="D162" s="18"/>
      <c r="E162" s="18"/>
      <c r="F162" s="18"/>
      <c r="G162" s="14"/>
      <c r="H162" s="14"/>
      <c r="I162" s="14"/>
      <c r="J162" s="18"/>
      <c r="K162" s="18"/>
      <c r="L162" s="14"/>
      <c r="M162" s="14"/>
      <c r="N162" s="18"/>
      <c r="O162" s="18"/>
    </row>
    <row r="163" spans="1:15" s="56" customFormat="1" ht="21" customHeight="1">
      <c r="A163" s="18"/>
      <c r="B163" s="14"/>
      <c r="C163" s="14"/>
      <c r="D163" s="18"/>
      <c r="E163" s="18"/>
      <c r="F163" s="18"/>
      <c r="G163" s="14"/>
      <c r="H163" s="14"/>
      <c r="I163" s="14"/>
      <c r="J163" s="18"/>
      <c r="K163" s="18"/>
      <c r="L163" s="14"/>
      <c r="M163" s="14"/>
      <c r="N163" s="18"/>
      <c r="O163" s="18"/>
    </row>
    <row r="164" spans="1:15" s="56" customFormat="1" ht="21" customHeight="1">
      <c r="A164" s="18"/>
      <c r="B164" s="14"/>
      <c r="C164" s="14"/>
      <c r="D164" s="18"/>
      <c r="E164" s="18"/>
      <c r="F164" s="18"/>
      <c r="G164" s="14"/>
      <c r="H164" s="14"/>
      <c r="I164" s="14"/>
      <c r="J164" s="18"/>
      <c r="K164" s="18"/>
      <c r="L164" s="14"/>
      <c r="M164" s="14"/>
      <c r="N164" s="18"/>
      <c r="O164" s="18"/>
    </row>
    <row r="165" spans="1:15" s="56" customFormat="1" ht="21" customHeight="1">
      <c r="A165" s="18"/>
      <c r="B165" s="14"/>
      <c r="C165" s="14"/>
      <c r="D165" s="18"/>
      <c r="E165" s="18"/>
      <c r="F165" s="18"/>
      <c r="G165" s="14"/>
      <c r="H165" s="14"/>
      <c r="I165" s="14"/>
      <c r="J165" s="18"/>
      <c r="K165" s="18"/>
      <c r="L165" s="14"/>
      <c r="M165" s="14"/>
      <c r="N165" s="18"/>
      <c r="O165" s="18"/>
    </row>
    <row r="166" spans="1:15" s="56" customFormat="1" ht="21" customHeight="1">
      <c r="A166" s="18"/>
      <c r="B166" s="14"/>
      <c r="C166" s="14"/>
      <c r="D166" s="18"/>
      <c r="E166" s="18"/>
      <c r="F166" s="18"/>
      <c r="G166" s="14"/>
      <c r="H166" s="14"/>
      <c r="I166" s="14"/>
      <c r="J166" s="18"/>
      <c r="K166" s="18"/>
      <c r="L166" s="14"/>
      <c r="M166" s="14"/>
      <c r="N166" s="18"/>
      <c r="O166" s="18"/>
    </row>
    <row r="167" spans="1:15" s="56" customFormat="1" ht="21" customHeight="1">
      <c r="A167" s="18"/>
      <c r="B167" s="14"/>
      <c r="C167" s="14"/>
      <c r="D167" s="18"/>
      <c r="E167" s="18"/>
      <c r="F167" s="18"/>
      <c r="G167" s="14"/>
      <c r="H167" s="14"/>
      <c r="I167" s="14"/>
      <c r="J167" s="18"/>
      <c r="K167" s="18"/>
      <c r="L167" s="14"/>
      <c r="M167" s="14"/>
      <c r="N167" s="18"/>
      <c r="O167" s="18"/>
    </row>
    <row r="168" spans="1:15" s="56" customFormat="1" ht="21" customHeight="1">
      <c r="A168" s="18"/>
      <c r="B168" s="14"/>
      <c r="C168" s="14"/>
      <c r="D168" s="18"/>
      <c r="E168" s="18"/>
      <c r="F168" s="18"/>
      <c r="G168" s="14"/>
      <c r="H168" s="14"/>
      <c r="I168" s="14"/>
      <c r="J168" s="18"/>
      <c r="K168" s="18"/>
      <c r="L168" s="14"/>
      <c r="M168" s="14"/>
      <c r="N168" s="18"/>
      <c r="O168" s="18"/>
    </row>
    <row r="169" spans="1:15" s="56" customFormat="1" ht="21" customHeight="1">
      <c r="A169" s="18"/>
      <c r="B169" s="14"/>
      <c r="C169" s="14"/>
      <c r="D169" s="18"/>
      <c r="E169" s="18"/>
      <c r="F169" s="18"/>
      <c r="G169" s="14"/>
      <c r="H169" s="14"/>
      <c r="I169" s="14"/>
      <c r="J169" s="18"/>
      <c r="K169" s="18"/>
      <c r="L169" s="14"/>
      <c r="M169" s="14"/>
      <c r="N169" s="18"/>
      <c r="O169" s="18"/>
    </row>
    <row r="170" spans="1:15" s="56" customFormat="1" ht="21" customHeight="1">
      <c r="A170" s="18"/>
      <c r="B170" s="14"/>
      <c r="C170" s="14"/>
      <c r="D170" s="18"/>
      <c r="E170" s="18"/>
      <c r="F170" s="18"/>
      <c r="G170" s="14"/>
      <c r="H170" s="14"/>
      <c r="I170" s="14"/>
      <c r="J170" s="18"/>
      <c r="K170" s="18"/>
      <c r="L170" s="14"/>
      <c r="M170" s="14"/>
      <c r="N170" s="18"/>
      <c r="O170" s="18"/>
    </row>
    <row r="171" spans="1:15" s="56" customFormat="1" ht="21" customHeight="1">
      <c r="A171" s="18"/>
      <c r="B171" s="14"/>
      <c r="C171" s="14"/>
      <c r="D171" s="18"/>
      <c r="E171" s="18"/>
      <c r="F171" s="18"/>
      <c r="G171" s="14"/>
      <c r="H171" s="14"/>
      <c r="I171" s="14"/>
      <c r="J171" s="18"/>
      <c r="K171" s="18"/>
      <c r="L171" s="14"/>
      <c r="M171" s="14"/>
      <c r="N171" s="18"/>
      <c r="O171" s="18"/>
    </row>
    <row r="172" spans="1:15" s="56" customFormat="1" ht="21" customHeight="1">
      <c r="A172" s="18"/>
      <c r="B172" s="14"/>
      <c r="C172" s="14"/>
      <c r="D172" s="18"/>
      <c r="E172" s="18"/>
      <c r="F172" s="18"/>
      <c r="G172" s="14"/>
      <c r="H172" s="14"/>
      <c r="I172" s="14"/>
      <c r="J172" s="18"/>
      <c r="K172" s="18"/>
      <c r="L172" s="14"/>
      <c r="M172" s="14"/>
      <c r="N172" s="18"/>
      <c r="O172" s="18"/>
    </row>
    <row r="173" spans="1:15" s="56" customFormat="1" ht="21" customHeight="1">
      <c r="A173" s="18"/>
      <c r="B173" s="14"/>
      <c r="C173" s="14"/>
      <c r="D173" s="18"/>
      <c r="E173" s="18"/>
      <c r="F173" s="18"/>
      <c r="G173" s="14"/>
      <c r="H173" s="14"/>
      <c r="I173" s="14"/>
      <c r="J173" s="18"/>
      <c r="K173" s="18"/>
      <c r="L173" s="14"/>
      <c r="M173" s="14"/>
      <c r="N173" s="18"/>
      <c r="O173" s="18"/>
    </row>
    <row r="174" spans="1:15" s="56" customFormat="1" ht="21" customHeight="1">
      <c r="A174" s="18"/>
      <c r="B174" s="14"/>
      <c r="C174" s="14"/>
      <c r="D174" s="18"/>
      <c r="E174" s="18"/>
      <c r="F174" s="18"/>
      <c r="G174" s="14"/>
      <c r="H174" s="14"/>
      <c r="I174" s="14"/>
      <c r="J174" s="18"/>
      <c r="K174" s="18"/>
      <c r="L174" s="14"/>
      <c r="M174" s="14"/>
      <c r="N174" s="18"/>
      <c r="O174" s="18"/>
    </row>
    <row r="175" spans="1:15" s="56" customFormat="1" ht="21" customHeight="1">
      <c r="A175" s="18"/>
      <c r="B175" s="14"/>
      <c r="C175" s="14"/>
      <c r="D175" s="18"/>
      <c r="E175" s="18"/>
      <c r="F175" s="18"/>
      <c r="G175" s="14"/>
      <c r="H175" s="14"/>
      <c r="I175" s="14"/>
      <c r="J175" s="18"/>
      <c r="K175" s="18"/>
      <c r="L175" s="14"/>
      <c r="M175" s="14"/>
      <c r="N175" s="18"/>
      <c r="O175" s="18"/>
    </row>
    <row r="176" spans="1:15" s="56" customFormat="1" ht="21" customHeight="1">
      <c r="A176" s="18"/>
      <c r="B176" s="14"/>
      <c r="C176" s="14"/>
      <c r="D176" s="18"/>
      <c r="E176" s="18"/>
      <c r="F176" s="18"/>
      <c r="G176" s="14"/>
      <c r="H176" s="14"/>
      <c r="I176" s="14"/>
      <c r="J176" s="18"/>
      <c r="K176" s="18"/>
      <c r="L176" s="14"/>
      <c r="M176" s="14"/>
      <c r="N176" s="18"/>
      <c r="O176" s="18"/>
    </row>
    <row r="177" spans="1:15" s="56" customFormat="1" ht="21" customHeight="1">
      <c r="A177" s="18"/>
      <c r="B177" s="14"/>
      <c r="C177" s="14"/>
      <c r="D177" s="18"/>
      <c r="E177" s="18"/>
      <c r="F177" s="18"/>
      <c r="G177" s="14"/>
      <c r="H177" s="14"/>
      <c r="I177" s="14"/>
      <c r="J177" s="18"/>
      <c r="K177" s="18"/>
      <c r="L177" s="14"/>
      <c r="M177" s="14"/>
      <c r="N177" s="18"/>
      <c r="O177" s="18"/>
    </row>
    <row r="178" spans="1:15" s="56" customFormat="1" ht="21" customHeight="1">
      <c r="A178" s="18"/>
      <c r="B178" s="14"/>
      <c r="C178" s="14"/>
      <c r="D178" s="18"/>
      <c r="E178" s="18"/>
      <c r="F178" s="18"/>
      <c r="G178" s="14"/>
      <c r="H178" s="14"/>
      <c r="I178" s="14"/>
      <c r="J178" s="18"/>
      <c r="K178" s="18"/>
      <c r="L178" s="14"/>
      <c r="M178" s="14"/>
      <c r="N178" s="18"/>
      <c r="O178" s="18"/>
    </row>
    <row r="179" spans="1:15" s="56" customFormat="1" ht="21" customHeight="1">
      <c r="A179" s="18"/>
      <c r="B179" s="14"/>
      <c r="C179" s="14"/>
      <c r="D179" s="18"/>
      <c r="E179" s="18"/>
      <c r="F179" s="18"/>
      <c r="G179" s="14"/>
      <c r="H179" s="14"/>
      <c r="I179" s="14"/>
      <c r="J179" s="18"/>
      <c r="K179" s="18"/>
      <c r="L179" s="14"/>
      <c r="M179" s="14"/>
      <c r="N179" s="18"/>
      <c r="O179" s="18"/>
    </row>
    <row r="180" spans="1:15" s="56" customFormat="1" ht="21" customHeight="1">
      <c r="A180" s="18"/>
      <c r="B180" s="14"/>
      <c r="C180" s="14"/>
      <c r="D180" s="18"/>
      <c r="E180" s="18"/>
      <c r="F180" s="18"/>
      <c r="G180" s="14"/>
      <c r="H180" s="14"/>
      <c r="I180" s="14"/>
      <c r="J180" s="18"/>
      <c r="K180" s="18"/>
      <c r="L180" s="14"/>
      <c r="M180" s="14"/>
      <c r="N180" s="18"/>
      <c r="O180" s="18"/>
    </row>
    <row r="181" spans="1:15" s="56" customFormat="1" ht="21" customHeight="1">
      <c r="A181" s="18"/>
      <c r="B181" s="14"/>
      <c r="C181" s="14"/>
      <c r="D181" s="18"/>
      <c r="E181" s="18"/>
      <c r="F181" s="18"/>
      <c r="G181" s="14"/>
      <c r="H181" s="14"/>
      <c r="I181" s="14"/>
      <c r="J181" s="18"/>
      <c r="K181" s="18"/>
      <c r="L181" s="14"/>
      <c r="M181" s="14"/>
      <c r="N181" s="18"/>
      <c r="O181" s="18"/>
    </row>
    <row r="182" spans="1:15" s="56" customFormat="1" ht="21" customHeight="1">
      <c r="A182" s="18"/>
      <c r="B182" s="14"/>
      <c r="C182" s="14"/>
      <c r="D182" s="18"/>
      <c r="E182" s="18"/>
      <c r="F182" s="18"/>
      <c r="G182" s="14"/>
      <c r="H182" s="14"/>
      <c r="I182" s="14"/>
      <c r="J182" s="18"/>
      <c r="K182" s="18"/>
      <c r="L182" s="14"/>
      <c r="M182" s="14"/>
      <c r="N182" s="18"/>
      <c r="O182" s="18"/>
    </row>
    <row r="183" spans="1:15" s="56" customFormat="1" ht="21" customHeight="1">
      <c r="A183" s="18"/>
      <c r="B183" s="14"/>
      <c r="C183" s="14"/>
      <c r="D183" s="18"/>
      <c r="E183" s="18"/>
      <c r="F183" s="18"/>
      <c r="G183" s="14"/>
      <c r="H183" s="14"/>
      <c r="I183" s="14"/>
      <c r="J183" s="18"/>
      <c r="K183" s="18"/>
      <c r="L183" s="14"/>
      <c r="M183" s="14"/>
      <c r="N183" s="18"/>
      <c r="O183" s="18"/>
    </row>
    <row r="184" spans="1:15" s="56" customFormat="1" ht="21" customHeight="1">
      <c r="A184" s="18"/>
      <c r="B184" s="14"/>
      <c r="C184" s="14"/>
      <c r="D184" s="18"/>
      <c r="E184" s="18"/>
      <c r="F184" s="18"/>
      <c r="G184" s="14"/>
      <c r="H184" s="14"/>
      <c r="I184" s="14"/>
      <c r="J184" s="18"/>
      <c r="K184" s="18"/>
      <c r="L184" s="14"/>
      <c r="M184" s="14"/>
      <c r="N184" s="18"/>
      <c r="O184" s="18"/>
    </row>
    <row r="185" spans="1:15" s="56" customFormat="1" ht="21" customHeight="1">
      <c r="A185" s="18"/>
      <c r="B185" s="14"/>
      <c r="C185" s="14"/>
      <c r="D185" s="18"/>
      <c r="E185" s="18"/>
      <c r="F185" s="18"/>
      <c r="G185" s="14"/>
      <c r="H185" s="14"/>
      <c r="I185" s="14"/>
      <c r="J185" s="18"/>
      <c r="K185" s="18"/>
      <c r="L185" s="14"/>
      <c r="M185" s="14"/>
      <c r="N185" s="18"/>
      <c r="O185" s="18"/>
    </row>
    <row r="186" spans="1:15" s="56" customFormat="1" ht="21" customHeight="1">
      <c r="A186" s="18"/>
      <c r="B186" s="14"/>
      <c r="C186" s="14"/>
      <c r="D186" s="18"/>
      <c r="E186" s="18"/>
      <c r="F186" s="18"/>
      <c r="G186" s="14"/>
      <c r="H186" s="14"/>
      <c r="I186" s="14"/>
      <c r="J186" s="18"/>
      <c r="K186" s="18"/>
      <c r="L186" s="14"/>
      <c r="M186" s="14"/>
      <c r="N186" s="18"/>
      <c r="O186" s="18"/>
    </row>
    <row r="187" spans="1:15" s="56" customFormat="1" ht="21" customHeight="1">
      <c r="A187" s="18"/>
      <c r="B187" s="14"/>
      <c r="C187" s="14"/>
      <c r="D187" s="18"/>
      <c r="E187" s="18"/>
      <c r="F187" s="18"/>
      <c r="G187" s="14"/>
      <c r="H187" s="14"/>
      <c r="I187" s="14"/>
      <c r="J187" s="18"/>
      <c r="K187" s="18"/>
      <c r="L187" s="14"/>
      <c r="M187" s="14"/>
      <c r="N187" s="18"/>
      <c r="O187" s="18"/>
    </row>
    <row r="188" spans="1:15" s="56" customFormat="1" ht="21" customHeight="1">
      <c r="A188" s="18"/>
      <c r="B188" s="14"/>
      <c r="C188" s="14"/>
      <c r="D188" s="18"/>
      <c r="E188" s="18"/>
      <c r="F188" s="18"/>
      <c r="G188" s="14"/>
      <c r="H188" s="14"/>
      <c r="I188" s="14"/>
      <c r="J188" s="18"/>
      <c r="K188" s="18"/>
      <c r="L188" s="14"/>
      <c r="M188" s="14"/>
      <c r="N188" s="18"/>
      <c r="O188" s="18"/>
    </row>
    <row r="189" spans="1:15" s="56" customFormat="1" ht="21" customHeight="1">
      <c r="A189" s="18"/>
      <c r="B189" s="14"/>
      <c r="C189" s="14"/>
      <c r="D189" s="18"/>
      <c r="E189" s="18"/>
      <c r="F189" s="18"/>
      <c r="G189" s="14"/>
      <c r="H189" s="14"/>
      <c r="I189" s="14"/>
      <c r="J189" s="18"/>
      <c r="K189" s="18"/>
      <c r="L189" s="14"/>
      <c r="M189" s="14"/>
      <c r="N189" s="18"/>
      <c r="O189" s="18"/>
    </row>
    <row r="190" spans="1:15" s="56" customFormat="1" ht="21" customHeight="1">
      <c r="A190" s="18"/>
      <c r="B190" s="14"/>
      <c r="C190" s="14"/>
      <c r="D190" s="18"/>
      <c r="E190" s="18"/>
      <c r="F190" s="18"/>
      <c r="G190" s="14"/>
      <c r="H190" s="14"/>
      <c r="I190" s="14"/>
      <c r="J190" s="18"/>
      <c r="K190" s="18"/>
      <c r="L190" s="14"/>
      <c r="M190" s="14"/>
      <c r="N190" s="18"/>
      <c r="O190" s="18"/>
    </row>
    <row r="191" spans="1:15" s="56" customFormat="1" ht="21" customHeight="1">
      <c r="A191" s="18"/>
      <c r="B191" s="14"/>
      <c r="C191" s="14"/>
      <c r="D191" s="18"/>
      <c r="E191" s="18"/>
      <c r="F191" s="18"/>
      <c r="G191" s="14"/>
      <c r="H191" s="14"/>
      <c r="I191" s="14"/>
      <c r="J191" s="18"/>
      <c r="K191" s="18"/>
      <c r="L191" s="14"/>
      <c r="M191" s="14"/>
      <c r="N191" s="18"/>
      <c r="O191" s="18"/>
    </row>
    <row r="192" spans="1:15" s="56" customFormat="1" ht="21" customHeight="1">
      <c r="A192" s="18"/>
      <c r="B192" s="14"/>
      <c r="C192" s="14"/>
      <c r="D192" s="18"/>
      <c r="E192" s="18"/>
      <c r="F192" s="18"/>
      <c r="G192" s="14"/>
      <c r="H192" s="14"/>
      <c r="I192" s="14"/>
      <c r="J192" s="18"/>
      <c r="K192" s="18"/>
      <c r="L192" s="14"/>
      <c r="M192" s="14"/>
      <c r="N192" s="18"/>
      <c r="O192" s="18"/>
    </row>
    <row r="193" spans="1:15" s="56" customFormat="1" ht="21" customHeight="1">
      <c r="A193" s="18"/>
      <c r="B193" s="14"/>
      <c r="C193" s="14"/>
      <c r="D193" s="18"/>
      <c r="E193" s="18"/>
      <c r="F193" s="18"/>
      <c r="G193" s="14"/>
      <c r="H193" s="14"/>
      <c r="I193" s="14"/>
      <c r="J193" s="18"/>
      <c r="K193" s="18"/>
      <c r="L193" s="14"/>
      <c r="M193" s="14"/>
      <c r="N193" s="18"/>
      <c r="O193" s="18"/>
    </row>
    <row r="194" spans="1:15" s="56" customFormat="1" ht="21" customHeight="1">
      <c r="A194" s="18"/>
      <c r="B194" s="14"/>
      <c r="C194" s="14"/>
      <c r="D194" s="18"/>
      <c r="E194" s="18"/>
      <c r="F194" s="18"/>
      <c r="G194" s="14"/>
      <c r="H194" s="14"/>
      <c r="I194" s="14"/>
      <c r="J194" s="18"/>
      <c r="K194" s="18"/>
      <c r="L194" s="14"/>
      <c r="M194" s="14"/>
      <c r="N194" s="18"/>
      <c r="O194" s="18"/>
    </row>
    <row r="195" spans="1:15" s="56" customFormat="1" ht="21" customHeight="1">
      <c r="A195" s="18"/>
      <c r="B195" s="14"/>
      <c r="C195" s="14"/>
      <c r="D195" s="18"/>
      <c r="E195" s="18"/>
      <c r="F195" s="18"/>
      <c r="G195" s="14"/>
      <c r="H195" s="14"/>
      <c r="I195" s="14"/>
      <c r="J195" s="18"/>
      <c r="K195" s="18"/>
      <c r="L195" s="14"/>
      <c r="M195" s="14"/>
      <c r="N195" s="18"/>
      <c r="O195" s="18"/>
    </row>
    <row r="196" spans="1:15" s="56" customFormat="1" ht="21" customHeight="1">
      <c r="A196" s="18"/>
      <c r="B196" s="14"/>
      <c r="C196" s="14"/>
      <c r="D196" s="18"/>
      <c r="E196" s="18"/>
      <c r="F196" s="18"/>
      <c r="G196" s="14"/>
      <c r="H196" s="14"/>
      <c r="I196" s="14"/>
      <c r="J196" s="18"/>
      <c r="K196" s="18"/>
      <c r="L196" s="14"/>
      <c r="M196" s="14"/>
      <c r="N196" s="18"/>
      <c r="O196" s="18"/>
    </row>
    <row r="197" spans="1:15" s="56" customFormat="1" ht="21" customHeight="1">
      <c r="A197" s="18"/>
      <c r="B197" s="14"/>
      <c r="C197" s="14"/>
      <c r="D197" s="18"/>
      <c r="E197" s="18"/>
      <c r="F197" s="18"/>
      <c r="G197" s="14"/>
      <c r="H197" s="14"/>
      <c r="I197" s="14"/>
      <c r="J197" s="18"/>
      <c r="K197" s="18"/>
      <c r="L197" s="14"/>
      <c r="M197" s="14"/>
      <c r="N197" s="18"/>
      <c r="O197" s="18"/>
    </row>
    <row r="198" spans="1:15" s="56" customFormat="1" ht="21" customHeight="1">
      <c r="A198" s="18"/>
      <c r="B198" s="14"/>
      <c r="C198" s="14"/>
      <c r="D198" s="18"/>
      <c r="E198" s="18"/>
      <c r="F198" s="18"/>
      <c r="G198" s="14"/>
      <c r="H198" s="14"/>
      <c r="I198" s="14"/>
      <c r="J198" s="18"/>
      <c r="K198" s="18"/>
      <c r="L198" s="14"/>
      <c r="M198" s="14"/>
      <c r="N198" s="18"/>
      <c r="O198" s="18"/>
    </row>
    <row r="199" spans="1:15" s="56" customFormat="1" ht="21" customHeight="1">
      <c r="A199" s="18"/>
      <c r="B199" s="14"/>
      <c r="C199" s="14"/>
      <c r="D199" s="18"/>
      <c r="E199" s="18"/>
      <c r="F199" s="18"/>
      <c r="G199" s="14"/>
      <c r="H199" s="14"/>
      <c r="I199" s="14"/>
      <c r="J199" s="18"/>
      <c r="K199" s="18"/>
      <c r="L199" s="14"/>
      <c r="M199" s="14"/>
      <c r="N199" s="18"/>
      <c r="O199" s="18"/>
    </row>
    <row r="200" spans="1:15" s="56" customFormat="1" ht="21" customHeight="1">
      <c r="A200" s="18"/>
      <c r="B200" s="14"/>
      <c r="C200" s="14"/>
      <c r="D200" s="18"/>
      <c r="E200" s="18"/>
      <c r="F200" s="18"/>
      <c r="G200" s="14"/>
      <c r="H200" s="14"/>
      <c r="I200" s="14"/>
      <c r="J200" s="18"/>
      <c r="K200" s="18"/>
      <c r="L200" s="14"/>
      <c r="M200" s="14"/>
      <c r="N200" s="18"/>
      <c r="O200" s="18"/>
    </row>
    <row r="201" spans="1:15" s="56" customFormat="1" ht="21" customHeight="1">
      <c r="A201" s="18"/>
      <c r="B201" s="14"/>
      <c r="C201" s="14"/>
      <c r="D201" s="18"/>
      <c r="E201" s="18"/>
      <c r="F201" s="18"/>
      <c r="G201" s="14"/>
      <c r="H201" s="14"/>
      <c r="I201" s="14"/>
      <c r="J201" s="18"/>
      <c r="K201" s="18"/>
      <c r="L201" s="14"/>
      <c r="M201" s="14"/>
      <c r="N201" s="18"/>
      <c r="O201" s="18"/>
    </row>
    <row r="202" spans="1:15" s="56" customFormat="1" ht="21" customHeight="1">
      <c r="A202" s="18"/>
      <c r="B202" s="14"/>
      <c r="C202" s="14"/>
      <c r="D202" s="18"/>
      <c r="E202" s="18"/>
      <c r="F202" s="18"/>
      <c r="G202" s="14"/>
      <c r="H202" s="14"/>
      <c r="I202" s="14"/>
      <c r="J202" s="18"/>
      <c r="K202" s="18"/>
      <c r="L202" s="14"/>
      <c r="M202" s="14"/>
      <c r="N202" s="18"/>
      <c r="O202" s="18"/>
    </row>
    <row r="203" spans="1:15" s="56" customFormat="1" ht="21" customHeight="1">
      <c r="A203" s="18"/>
      <c r="B203" s="14"/>
      <c r="C203" s="14"/>
      <c r="D203" s="18"/>
      <c r="E203" s="18"/>
      <c r="F203" s="18"/>
      <c r="G203" s="14"/>
      <c r="H203" s="14"/>
      <c r="I203" s="14"/>
      <c r="J203" s="18"/>
      <c r="K203" s="18"/>
      <c r="L203" s="14"/>
      <c r="M203" s="14"/>
      <c r="N203" s="18"/>
      <c r="O203" s="18"/>
    </row>
    <row r="204" spans="1:15" s="56" customFormat="1" ht="21" customHeight="1">
      <c r="A204" s="18"/>
      <c r="B204" s="14"/>
      <c r="C204" s="14"/>
      <c r="D204" s="18"/>
      <c r="E204" s="18"/>
      <c r="F204" s="18"/>
      <c r="G204" s="14"/>
      <c r="H204" s="14"/>
      <c r="I204" s="14"/>
      <c r="J204" s="18"/>
      <c r="K204" s="18"/>
      <c r="L204" s="14"/>
      <c r="M204" s="14"/>
      <c r="N204" s="18"/>
      <c r="O204" s="18"/>
    </row>
    <row r="205" spans="1:15" s="56" customFormat="1" ht="21" customHeight="1">
      <c r="A205" s="18"/>
      <c r="B205" s="14"/>
      <c r="C205" s="14"/>
      <c r="D205" s="18"/>
      <c r="E205" s="18"/>
      <c r="F205" s="18"/>
      <c r="G205" s="14"/>
      <c r="H205" s="14"/>
      <c r="I205" s="14"/>
      <c r="J205" s="18"/>
      <c r="K205" s="18"/>
      <c r="L205" s="14"/>
      <c r="M205" s="14"/>
      <c r="N205" s="18"/>
      <c r="O205" s="18"/>
    </row>
    <row r="206" spans="1:15" s="56" customFormat="1" ht="21" customHeight="1">
      <c r="A206" s="18"/>
      <c r="B206" s="14"/>
      <c r="C206" s="14"/>
      <c r="D206" s="18"/>
      <c r="E206" s="18"/>
      <c r="F206" s="18"/>
      <c r="G206" s="14"/>
      <c r="H206" s="14"/>
      <c r="I206" s="14"/>
      <c r="J206" s="18"/>
      <c r="K206" s="18"/>
      <c r="L206" s="14"/>
      <c r="M206" s="14"/>
      <c r="N206" s="18"/>
      <c r="O206" s="18"/>
    </row>
    <row r="207" spans="1:15" s="56" customFormat="1" ht="21" customHeight="1">
      <c r="A207" s="18"/>
      <c r="B207" s="14"/>
      <c r="C207" s="14"/>
      <c r="D207" s="18"/>
      <c r="E207" s="18"/>
      <c r="F207" s="18"/>
      <c r="G207" s="14"/>
      <c r="H207" s="14"/>
      <c r="I207" s="14"/>
      <c r="J207" s="18"/>
      <c r="K207" s="18"/>
      <c r="L207" s="14"/>
      <c r="M207" s="14"/>
      <c r="N207" s="18"/>
      <c r="O207" s="18"/>
    </row>
    <row r="208" spans="1:15" s="56" customFormat="1" ht="21" customHeight="1">
      <c r="A208" s="18"/>
      <c r="B208" s="14"/>
      <c r="C208" s="14"/>
      <c r="D208" s="18"/>
      <c r="E208" s="18"/>
      <c r="F208" s="18"/>
      <c r="G208" s="14"/>
      <c r="H208" s="14"/>
      <c r="I208" s="14"/>
      <c r="J208" s="18"/>
      <c r="K208" s="18"/>
      <c r="L208" s="14"/>
      <c r="M208" s="14"/>
      <c r="N208" s="18"/>
      <c r="O208" s="18"/>
    </row>
    <row r="209" spans="1:15" s="56" customFormat="1" ht="21" customHeight="1">
      <c r="A209" s="18"/>
      <c r="B209" s="14"/>
      <c r="C209" s="14"/>
      <c r="D209" s="18"/>
      <c r="E209" s="18"/>
      <c r="F209" s="18"/>
      <c r="G209" s="14"/>
      <c r="H209" s="14"/>
      <c r="I209" s="14"/>
      <c r="J209" s="18"/>
      <c r="K209" s="18"/>
      <c r="L209" s="14"/>
      <c r="M209" s="14"/>
      <c r="N209" s="18"/>
      <c r="O209" s="18"/>
    </row>
  </sheetData>
  <sheetProtection sheet="1" objects="1" scenarios="1" selectLockedCells="1"/>
  <mergeCells count="37">
    <mergeCell ref="N41:O42"/>
    <mergeCell ref="A28:A29"/>
    <mergeCell ref="C28:C29"/>
    <mergeCell ref="B30:B37"/>
    <mergeCell ref="A15:A16"/>
    <mergeCell ref="D30:D37"/>
    <mergeCell ref="C15:C16"/>
    <mergeCell ref="D41:D43"/>
    <mergeCell ref="K15:K16"/>
    <mergeCell ref="F41:F43"/>
    <mergeCell ref="J41:J43"/>
    <mergeCell ref="L41:M42"/>
    <mergeCell ref="F30:F37"/>
    <mergeCell ref="B41:B43"/>
    <mergeCell ref="H41:H43"/>
    <mergeCell ref="C41:C43"/>
    <mergeCell ref="A1:N5"/>
    <mergeCell ref="D28:D29"/>
    <mergeCell ref="B15:B16"/>
    <mergeCell ref="D15:D16"/>
    <mergeCell ref="K28:M28"/>
    <mergeCell ref="K17:K18"/>
    <mergeCell ref="F28:F29"/>
    <mergeCell ref="N28:N29"/>
    <mergeCell ref="H15:H16"/>
    <mergeCell ref="G28:J28"/>
    <mergeCell ref="E15:E16"/>
    <mergeCell ref="G15:G16"/>
    <mergeCell ref="B28:B29"/>
    <mergeCell ref="I41:I43"/>
    <mergeCell ref="K41:K43"/>
    <mergeCell ref="F15:F16"/>
    <mergeCell ref="G41:G43"/>
    <mergeCell ref="A30:A37"/>
    <mergeCell ref="C30:C37"/>
    <mergeCell ref="K30:K37"/>
    <mergeCell ref="A41:A43"/>
  </mergeCells>
  <pageMargins left="0.118110236220472" right="0" top="0.118110236220472" bottom="0" header="0.31496062992126" footer="0.31496062992126"/>
  <pageSetup scale="70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3"/>
  <sheetViews>
    <sheetView workbookViewId="0">
      <selection activeCell="U28" sqref="A1:XFD1048576"/>
    </sheetView>
  </sheetViews>
  <sheetFormatPr defaultRowHeight="14.4"/>
  <cols>
    <col min="1" max="1" width="15.6640625" style="81" customWidth="1"/>
    <col min="2" max="2" width="54" style="14" customWidth="1"/>
    <col min="3" max="20" width="3.21875" style="14" customWidth="1"/>
    <col min="21" max="26" width="5.44140625" style="14" customWidth="1"/>
    <col min="27" max="27" width="8.88671875" style="14"/>
    <col min="28" max="28" width="15.44140625" style="14" customWidth="1"/>
    <col min="29" max="16384" width="8.88671875" style="14"/>
  </cols>
  <sheetData>
    <row r="1" spans="1:26" ht="15" customHeight="1">
      <c r="A1" s="11" t="s">
        <v>74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15" t="s">
        <v>75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s="22" customFormat="1" ht="26.25" customHeight="1">
      <c r="A7" s="16" t="s">
        <v>75</v>
      </c>
      <c r="B7" s="12"/>
      <c r="C7" s="17" t="s">
        <v>76</v>
      </c>
      <c r="D7" s="14"/>
      <c r="E7" s="18"/>
      <c r="F7" s="18"/>
      <c r="G7" s="19" t="str">
        <f>'ใบงาน Agilent_JOB 10'!F7</f>
        <v>xxxx</v>
      </c>
      <c r="H7" s="12"/>
      <c r="I7" s="12"/>
      <c r="J7" s="12"/>
      <c r="K7" s="12"/>
      <c r="L7" s="18"/>
      <c r="M7" s="18"/>
      <c r="N7" s="18"/>
      <c r="O7" s="18"/>
      <c r="P7" s="18"/>
      <c r="Q7" s="18"/>
      <c r="R7" s="18"/>
      <c r="S7" s="20" t="s">
        <v>6</v>
      </c>
      <c r="T7" s="14"/>
      <c r="U7" s="14"/>
      <c r="V7" s="14"/>
      <c r="W7" s="21" t="str">
        <f>'ใบงาน Agilent_JOB 10'!M7</f>
        <v>xxxx</v>
      </c>
      <c r="X7" s="21"/>
      <c r="Y7" s="21"/>
      <c r="Z7" s="21"/>
    </row>
    <row r="8" spans="1:26" s="22" customFormat="1" ht="22.5" customHeight="1">
      <c r="A8" s="50" t="s">
        <v>77</v>
      </c>
      <c r="B8" s="24" t="str">
        <f>'ใบงาน Agilent_JOB 10'!F8</f>
        <v>K9801-60094</v>
      </c>
      <c r="C8" s="26" t="s">
        <v>78</v>
      </c>
      <c r="D8" s="26"/>
      <c r="E8" s="26"/>
      <c r="F8" s="26"/>
      <c r="G8" s="25" t="str">
        <f>'ใบงาน Agilent_JOB 10'!F9</f>
        <v>-</v>
      </c>
      <c r="H8" s="12"/>
      <c r="I8" s="12"/>
      <c r="J8" s="12"/>
      <c r="K8" s="26"/>
      <c r="L8" s="26"/>
      <c r="M8" s="26"/>
      <c r="N8" s="26"/>
      <c r="O8" s="26"/>
      <c r="P8" s="26"/>
      <c r="Q8" s="26"/>
      <c r="R8" s="26"/>
      <c r="S8" s="14"/>
      <c r="T8" s="14"/>
      <c r="U8" s="14"/>
      <c r="V8" s="14"/>
      <c r="W8" s="14"/>
      <c r="X8" s="14"/>
      <c r="Y8" s="14"/>
      <c r="Z8" s="14"/>
    </row>
    <row r="9" spans="1:26" s="22" customFormat="1" ht="19.95" customHeight="1">
      <c r="A9" s="50" t="s">
        <v>79</v>
      </c>
      <c r="B9" s="55">
        <f>'ใบงาน Agilent_JOB 10'!N8</f>
        <v>0</v>
      </c>
      <c r="C9" s="18"/>
      <c r="D9" s="19" t="s">
        <v>72</v>
      </c>
      <c r="E9" s="12"/>
      <c r="F9" s="12"/>
      <c r="G9" s="29" t="s">
        <v>72</v>
      </c>
      <c r="H9" s="12"/>
      <c r="I9" s="12"/>
      <c r="J9" s="12"/>
      <c r="K9" s="17"/>
      <c r="L9" s="18"/>
      <c r="M9" s="18"/>
      <c r="N9" s="18"/>
      <c r="O9" s="18"/>
      <c r="P9" s="18"/>
      <c r="Q9" s="18"/>
      <c r="R9" s="18"/>
      <c r="S9" s="31"/>
      <c r="T9" s="12"/>
      <c r="U9" s="12"/>
      <c r="V9" s="12"/>
      <c r="W9" s="14"/>
      <c r="X9" s="14"/>
      <c r="Y9" s="14"/>
      <c r="Z9" s="14"/>
    </row>
    <row r="10" spans="1:26" s="22" customFormat="1" ht="23.7" customHeight="1">
      <c r="A10" s="18" t="s">
        <v>80</v>
      </c>
      <c r="B10" s="56"/>
      <c r="C10" s="18"/>
      <c r="D10" s="18"/>
      <c r="E10" s="18"/>
      <c r="F10" s="18"/>
      <c r="G10" s="29" t="s">
        <v>72</v>
      </c>
      <c r="H10" s="12"/>
      <c r="I10" s="12"/>
      <c r="J10" s="12"/>
      <c r="K10" s="18"/>
      <c r="L10" s="18"/>
      <c r="M10" s="18"/>
      <c r="N10" s="18"/>
      <c r="O10" s="18"/>
      <c r="P10" s="18"/>
      <c r="Q10" s="18"/>
      <c r="R10" s="18"/>
      <c r="S10" s="12"/>
      <c r="T10" s="12"/>
      <c r="U10" s="12"/>
      <c r="V10" s="12"/>
      <c r="W10" s="14"/>
      <c r="X10" s="14"/>
      <c r="Y10" s="14"/>
      <c r="Z10" s="14"/>
    </row>
    <row r="11" spans="1:26" s="22" customFormat="1" ht="13.8" customHeight="1">
      <c r="A11" s="18"/>
      <c r="B11" s="56"/>
      <c r="C11" s="18"/>
      <c r="D11" s="18"/>
      <c r="E11" s="18"/>
      <c r="F11" s="18"/>
      <c r="G11" s="17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4"/>
      <c r="V11" s="14"/>
      <c r="W11" s="14"/>
      <c r="X11" s="14"/>
      <c r="Y11" s="14"/>
      <c r="Z11" s="14"/>
    </row>
    <row r="12" spans="1:26" s="22" customFormat="1" ht="13.8" customHeight="1">
      <c r="A12" s="33" t="s">
        <v>22</v>
      </c>
      <c r="B12" s="33" t="s">
        <v>81</v>
      </c>
      <c r="C12" s="34" t="s">
        <v>82</v>
      </c>
      <c r="D12" s="35"/>
      <c r="E12" s="35"/>
      <c r="F12" s="35"/>
      <c r="G12" s="35"/>
      <c r="H12" s="36"/>
      <c r="I12" s="34" t="s">
        <v>53</v>
      </c>
      <c r="J12" s="35"/>
      <c r="K12" s="35"/>
      <c r="L12" s="35"/>
      <c r="M12" s="35"/>
      <c r="N12" s="36"/>
      <c r="O12" s="34" t="s">
        <v>54</v>
      </c>
      <c r="P12" s="35"/>
      <c r="Q12" s="35"/>
      <c r="R12" s="35"/>
      <c r="S12" s="35"/>
      <c r="T12" s="36"/>
      <c r="U12" s="37" t="s">
        <v>83</v>
      </c>
      <c r="V12" s="35"/>
      <c r="W12" s="35"/>
      <c r="X12" s="35"/>
      <c r="Y12" s="35"/>
      <c r="Z12" s="36"/>
    </row>
    <row r="13" spans="1:26" s="22" customFormat="1" ht="13.8" customHeight="1">
      <c r="A13" s="38"/>
      <c r="B13" s="38"/>
      <c r="C13" s="39"/>
      <c r="D13" s="32"/>
      <c r="E13" s="32"/>
      <c r="F13" s="32"/>
      <c r="G13" s="32"/>
      <c r="H13" s="40"/>
      <c r="I13" s="39"/>
      <c r="J13" s="32"/>
      <c r="K13" s="32"/>
      <c r="L13" s="32"/>
      <c r="M13" s="32"/>
      <c r="N13" s="40"/>
      <c r="O13" s="39"/>
      <c r="P13" s="32"/>
      <c r="Q13" s="32"/>
      <c r="R13" s="32"/>
      <c r="S13" s="32"/>
      <c r="T13" s="40"/>
      <c r="U13" s="39"/>
      <c r="V13" s="32"/>
      <c r="W13" s="32"/>
      <c r="X13" s="32"/>
      <c r="Y13" s="32"/>
      <c r="Z13" s="40"/>
    </row>
    <row r="14" spans="1:26" s="46" customFormat="1" ht="35.700000000000003" customHeight="1">
      <c r="A14" s="48">
        <v>1</v>
      </c>
      <c r="B14" s="49" t="s">
        <v>84</v>
      </c>
      <c r="C14" s="43"/>
      <c r="D14" s="44"/>
      <c r="E14" s="44"/>
      <c r="F14" s="44"/>
      <c r="G14" s="44"/>
      <c r="H14" s="45"/>
      <c r="I14" s="43" t="s">
        <v>72</v>
      </c>
      <c r="J14" s="44"/>
      <c r="K14" s="44"/>
      <c r="L14" s="44"/>
      <c r="M14" s="44"/>
      <c r="N14" s="45"/>
      <c r="O14" s="43"/>
      <c r="P14" s="44"/>
      <c r="Q14" s="44"/>
      <c r="R14" s="44"/>
      <c r="S14" s="44"/>
      <c r="T14" s="45"/>
      <c r="U14" s="43"/>
      <c r="V14" s="44"/>
      <c r="W14" s="44"/>
      <c r="X14" s="44"/>
      <c r="Y14" s="44"/>
      <c r="Z14" s="45"/>
    </row>
    <row r="15" spans="1:26" s="46" customFormat="1" ht="22.5" customHeight="1">
      <c r="A15" s="41">
        <v>2</v>
      </c>
      <c r="B15" s="42" t="s">
        <v>85</v>
      </c>
      <c r="C15" s="43"/>
      <c r="D15" s="44"/>
      <c r="E15" s="44"/>
      <c r="F15" s="44"/>
      <c r="G15" s="44"/>
      <c r="H15" s="45"/>
      <c r="I15" s="43"/>
      <c r="J15" s="44"/>
      <c r="K15" s="44"/>
      <c r="L15" s="44"/>
      <c r="M15" s="44"/>
      <c r="N15" s="45"/>
      <c r="O15" s="43"/>
      <c r="P15" s="44"/>
      <c r="Q15" s="44"/>
      <c r="R15" s="44"/>
      <c r="S15" s="44"/>
      <c r="T15" s="45"/>
      <c r="U15" s="43"/>
      <c r="V15" s="44"/>
      <c r="W15" s="44"/>
      <c r="X15" s="44"/>
      <c r="Y15" s="44"/>
      <c r="Z15" s="45"/>
    </row>
    <row r="16" spans="1:26" s="46" customFormat="1" ht="22.5" customHeight="1">
      <c r="A16" s="47"/>
      <c r="B16" s="42" t="s">
        <v>86</v>
      </c>
      <c r="C16" s="43"/>
      <c r="D16" s="44"/>
      <c r="E16" s="44"/>
      <c r="F16" s="44"/>
      <c r="G16" s="44"/>
      <c r="H16" s="45"/>
      <c r="I16" s="43"/>
      <c r="J16" s="44"/>
      <c r="K16" s="44"/>
      <c r="L16" s="44"/>
      <c r="M16" s="44"/>
      <c r="N16" s="45"/>
      <c r="O16" s="43"/>
      <c r="P16" s="44"/>
      <c r="Q16" s="44"/>
      <c r="R16" s="44"/>
      <c r="S16" s="44"/>
      <c r="T16" s="45"/>
      <c r="U16" s="43"/>
      <c r="V16" s="44"/>
      <c r="W16" s="44"/>
      <c r="X16" s="44"/>
      <c r="Y16" s="44"/>
      <c r="Z16" s="45"/>
    </row>
    <row r="17" spans="1:26" s="46" customFormat="1" ht="22.5" customHeight="1">
      <c r="A17" s="47"/>
      <c r="B17" s="42" t="s">
        <v>87</v>
      </c>
      <c r="C17" s="43"/>
      <c r="D17" s="44"/>
      <c r="E17" s="44"/>
      <c r="F17" s="44"/>
      <c r="G17" s="44"/>
      <c r="H17" s="45"/>
      <c r="I17" s="43"/>
      <c r="J17" s="44"/>
      <c r="K17" s="44"/>
      <c r="L17" s="44"/>
      <c r="M17" s="44"/>
      <c r="N17" s="45"/>
      <c r="O17" s="43"/>
      <c r="P17" s="44"/>
      <c r="Q17" s="44"/>
      <c r="R17" s="44"/>
      <c r="S17" s="44"/>
      <c r="T17" s="45"/>
      <c r="U17" s="43"/>
      <c r="V17" s="44"/>
      <c r="W17" s="44"/>
      <c r="X17" s="44"/>
      <c r="Y17" s="44"/>
      <c r="Z17" s="45"/>
    </row>
    <row r="18" spans="1:26" s="46" customFormat="1" ht="22.5" customHeight="1">
      <c r="A18" s="47"/>
      <c r="B18" s="42" t="s">
        <v>88</v>
      </c>
      <c r="C18" s="43"/>
      <c r="D18" s="44"/>
      <c r="E18" s="44"/>
      <c r="F18" s="44"/>
      <c r="G18" s="44"/>
      <c r="H18" s="45"/>
      <c r="I18" s="43"/>
      <c r="J18" s="44"/>
      <c r="K18" s="44"/>
      <c r="L18" s="44"/>
      <c r="M18" s="44"/>
      <c r="N18" s="45"/>
      <c r="O18" s="43"/>
      <c r="P18" s="44"/>
      <c r="Q18" s="44"/>
      <c r="R18" s="44"/>
      <c r="S18" s="44"/>
      <c r="T18" s="45"/>
      <c r="U18" s="43"/>
      <c r="V18" s="44"/>
      <c r="W18" s="44"/>
      <c r="X18" s="44"/>
      <c r="Y18" s="44"/>
      <c r="Z18" s="45"/>
    </row>
    <row r="19" spans="1:26" s="46" customFormat="1" ht="22.5" customHeight="1">
      <c r="A19" s="38"/>
      <c r="B19" s="42" t="s">
        <v>89</v>
      </c>
      <c r="C19" s="43"/>
      <c r="D19" s="44"/>
      <c r="E19" s="44"/>
      <c r="F19" s="44"/>
      <c r="G19" s="44"/>
      <c r="H19" s="45"/>
      <c r="I19" s="43"/>
      <c r="J19" s="44"/>
      <c r="K19" s="44"/>
      <c r="L19" s="44"/>
      <c r="M19" s="44"/>
      <c r="N19" s="45"/>
      <c r="O19" s="43"/>
      <c r="P19" s="44"/>
      <c r="Q19" s="44"/>
      <c r="R19" s="44"/>
      <c r="S19" s="44"/>
      <c r="T19" s="45"/>
      <c r="U19" s="43"/>
      <c r="V19" s="44"/>
      <c r="W19" s="44"/>
      <c r="X19" s="44"/>
      <c r="Y19" s="44"/>
      <c r="Z19" s="45"/>
    </row>
    <row r="20" spans="1:26" s="46" customFormat="1" ht="22.5" customHeight="1">
      <c r="A20" s="48">
        <v>3</v>
      </c>
      <c r="B20" s="49" t="s">
        <v>90</v>
      </c>
      <c r="C20" s="43"/>
      <c r="D20" s="44"/>
      <c r="E20" s="44"/>
      <c r="F20" s="44"/>
      <c r="G20" s="44"/>
      <c r="H20" s="45"/>
      <c r="I20" s="43"/>
      <c r="J20" s="44"/>
      <c r="K20" s="44"/>
      <c r="L20" s="44"/>
      <c r="M20" s="44"/>
      <c r="N20" s="45"/>
      <c r="O20" s="43"/>
      <c r="P20" s="44"/>
      <c r="Q20" s="44"/>
      <c r="R20" s="44"/>
      <c r="S20" s="44"/>
      <c r="T20" s="45"/>
      <c r="U20" s="43"/>
      <c r="V20" s="44"/>
      <c r="W20" s="44"/>
      <c r="X20" s="44"/>
      <c r="Y20" s="44"/>
      <c r="Z20" s="45"/>
    </row>
    <row r="21" spans="1:26" s="46" customFormat="1" ht="22.5" customHeight="1">
      <c r="A21" s="48">
        <v>4</v>
      </c>
      <c r="B21" s="49" t="s">
        <v>91</v>
      </c>
      <c r="C21" s="43"/>
      <c r="D21" s="44"/>
      <c r="E21" s="44"/>
      <c r="F21" s="44"/>
      <c r="G21" s="44"/>
      <c r="H21" s="45"/>
      <c r="I21" s="43"/>
      <c r="J21" s="44"/>
      <c r="K21" s="44"/>
      <c r="L21" s="44"/>
      <c r="M21" s="44"/>
      <c r="N21" s="45"/>
      <c r="O21" s="43"/>
      <c r="P21" s="44"/>
      <c r="Q21" s="44"/>
      <c r="R21" s="44"/>
      <c r="S21" s="44"/>
      <c r="T21" s="45"/>
      <c r="U21" s="43"/>
      <c r="V21" s="44"/>
      <c r="W21" s="44"/>
      <c r="X21" s="44"/>
      <c r="Y21" s="44"/>
      <c r="Z21" s="45"/>
    </row>
    <row r="22" spans="1:26" s="46" customFormat="1" ht="22.5" customHeight="1">
      <c r="A22" s="48">
        <v>5</v>
      </c>
      <c r="B22" s="49" t="s">
        <v>92</v>
      </c>
      <c r="C22" s="43"/>
      <c r="D22" s="44"/>
      <c r="E22" s="44"/>
      <c r="F22" s="44"/>
      <c r="G22" s="44"/>
      <c r="H22" s="45"/>
      <c r="I22" s="43"/>
      <c r="J22" s="44"/>
      <c r="K22" s="44"/>
      <c r="L22" s="44"/>
      <c r="M22" s="44"/>
      <c r="N22" s="45"/>
      <c r="O22" s="43"/>
      <c r="P22" s="44"/>
      <c r="Q22" s="44"/>
      <c r="R22" s="44"/>
      <c r="S22" s="44"/>
      <c r="T22" s="45"/>
      <c r="U22" s="43"/>
      <c r="V22" s="44"/>
      <c r="W22" s="44"/>
      <c r="X22" s="44"/>
      <c r="Y22" s="44"/>
      <c r="Z22" s="45"/>
    </row>
    <row r="23" spans="1:26" s="46" customFormat="1" ht="20.7" customHeight="1">
      <c r="A23" s="48">
        <v>6</v>
      </c>
      <c r="B23" s="49" t="s">
        <v>93</v>
      </c>
      <c r="C23" s="43"/>
      <c r="D23" s="44"/>
      <c r="E23" s="44"/>
      <c r="F23" s="44"/>
      <c r="G23" s="44"/>
      <c r="H23" s="45"/>
      <c r="I23" s="43"/>
      <c r="J23" s="44"/>
      <c r="K23" s="44"/>
      <c r="L23" s="44"/>
      <c r="M23" s="44"/>
      <c r="N23" s="45"/>
      <c r="O23" s="43"/>
      <c r="P23" s="44"/>
      <c r="Q23" s="44"/>
      <c r="R23" s="44"/>
      <c r="S23" s="44"/>
      <c r="T23" s="45"/>
      <c r="U23" s="43"/>
      <c r="V23" s="44"/>
      <c r="W23" s="44"/>
      <c r="X23" s="44"/>
      <c r="Y23" s="44"/>
      <c r="Z23" s="45"/>
    </row>
    <row r="24" spans="1:26" s="22" customFormat="1" ht="13.8" customHeight="1">
      <c r="A24" s="50"/>
      <c r="B24" s="14"/>
      <c r="C24" s="51"/>
      <c r="D24" s="12"/>
      <c r="E24" s="12"/>
      <c r="F24" s="12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s="22" customFormat="1" ht="15.6" customHeight="1">
      <c r="A25" s="57" t="s">
        <v>94</v>
      </c>
      <c r="B25" s="44"/>
      <c r="C25" s="44"/>
      <c r="D25" s="44"/>
      <c r="E25" s="44"/>
      <c r="F25" s="44"/>
      <c r="G25" s="44"/>
      <c r="H25" s="44"/>
      <c r="I25" s="44"/>
      <c r="J25" s="45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s="54" customFormat="1" ht="15" customHeight="1">
      <c r="A26" s="58" t="s">
        <v>95</v>
      </c>
      <c r="B26" s="45"/>
      <c r="C26" s="59" t="s">
        <v>96</v>
      </c>
      <c r="D26" s="44"/>
      <c r="E26" s="44"/>
      <c r="F26" s="45"/>
      <c r="G26" s="59" t="s">
        <v>97</v>
      </c>
      <c r="H26" s="44"/>
      <c r="I26" s="44"/>
      <c r="J26" s="45"/>
      <c r="K26" s="14"/>
      <c r="L26" s="53" t="s">
        <v>72</v>
      </c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s="54" customFormat="1" ht="15" customHeight="1">
      <c r="A27" s="58" t="s">
        <v>98</v>
      </c>
      <c r="B27" s="45"/>
      <c r="C27" s="60">
        <v>10</v>
      </c>
      <c r="D27" s="44"/>
      <c r="E27" s="44"/>
      <c r="F27" s="45"/>
      <c r="G27" s="60">
        <v>10</v>
      </c>
      <c r="H27" s="44"/>
      <c r="I27" s="44"/>
      <c r="J27" s="45"/>
      <c r="K27" s="14"/>
      <c r="L27" s="53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54" customFormat="1" ht="15" customHeight="1">
      <c r="A28" s="58" t="s">
        <v>99</v>
      </c>
      <c r="B28" s="45"/>
      <c r="C28" s="60">
        <v>20</v>
      </c>
      <c r="D28" s="44"/>
      <c r="E28" s="44"/>
      <c r="F28" s="45"/>
      <c r="G28" s="60">
        <v>20</v>
      </c>
      <c r="H28" s="44"/>
      <c r="I28" s="44"/>
      <c r="J28" s="45"/>
      <c r="K28" s="14"/>
      <c r="L28" s="53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s="54" customFormat="1" ht="15" customHeight="1">
      <c r="A29" s="58" t="s">
        <v>100</v>
      </c>
      <c r="B29" s="45"/>
      <c r="C29" s="60">
        <v>30</v>
      </c>
      <c r="D29" s="44"/>
      <c r="E29" s="44"/>
      <c r="F29" s="45"/>
      <c r="G29" s="60">
        <v>30</v>
      </c>
      <c r="H29" s="44"/>
      <c r="I29" s="44"/>
      <c r="J29" s="45"/>
      <c r="K29" s="14"/>
      <c r="L29" s="53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s="54" customFormat="1" ht="15" customHeight="1">
      <c r="A30" s="58" t="s">
        <v>101</v>
      </c>
      <c r="B30" s="45"/>
      <c r="C30" s="60">
        <v>40</v>
      </c>
      <c r="D30" s="44"/>
      <c r="E30" s="44"/>
      <c r="F30" s="45"/>
      <c r="G30" s="60">
        <v>40</v>
      </c>
      <c r="H30" s="44"/>
      <c r="I30" s="44"/>
      <c r="J30" s="45"/>
      <c r="K30" s="14"/>
      <c r="L30" s="53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s="54" customFormat="1" ht="15" customHeight="1">
      <c r="A31" s="58" t="s">
        <v>102</v>
      </c>
      <c r="B31" s="45"/>
      <c r="C31" s="60">
        <v>50</v>
      </c>
      <c r="D31" s="44"/>
      <c r="E31" s="44"/>
      <c r="F31" s="45"/>
      <c r="G31" s="60">
        <v>50</v>
      </c>
      <c r="H31" s="44"/>
      <c r="I31" s="44"/>
      <c r="J31" s="45"/>
      <c r="K31" s="14"/>
      <c r="L31" s="53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s="54" customFormat="1" ht="15" customHeight="1">
      <c r="A32" s="58" t="s">
        <v>103</v>
      </c>
      <c r="B32" s="45"/>
      <c r="C32" s="60">
        <v>100</v>
      </c>
      <c r="D32" s="44"/>
      <c r="E32" s="44"/>
      <c r="F32" s="45"/>
      <c r="G32" s="60">
        <v>100</v>
      </c>
      <c r="H32" s="44"/>
      <c r="I32" s="44"/>
      <c r="J32" s="45"/>
      <c r="K32" s="14"/>
      <c r="L32" s="53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s="54" customFormat="1" ht="15" customHeight="1">
      <c r="A33" s="58" t="s">
        <v>104</v>
      </c>
      <c r="B33" s="45"/>
      <c r="C33" s="60">
        <v>200</v>
      </c>
      <c r="D33" s="44"/>
      <c r="E33" s="44"/>
      <c r="F33" s="45"/>
      <c r="G33" s="60">
        <v>200</v>
      </c>
      <c r="H33" s="44"/>
      <c r="I33" s="44"/>
      <c r="J33" s="45"/>
      <c r="K33" s="14"/>
      <c r="L33" s="53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s="54" customFormat="1" ht="15" customHeight="1">
      <c r="A34" s="58" t="s">
        <v>105</v>
      </c>
      <c r="B34" s="45"/>
      <c r="C34" s="60" t="s">
        <v>106</v>
      </c>
      <c r="D34" s="44"/>
      <c r="E34" s="44"/>
      <c r="F34" s="44"/>
      <c r="G34" s="44"/>
      <c r="H34" s="44"/>
      <c r="I34" s="44"/>
      <c r="J34" s="45"/>
      <c r="K34" s="14"/>
      <c r="L34" s="53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s="54" customFormat="1" ht="15" customHeight="1">
      <c r="A35" s="52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53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s="54" customFormat="1" ht="15" customHeight="1">
      <c r="A36" s="52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53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s="54" customFormat="1" ht="15" customHeight="1">
      <c r="A37" s="52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52"/>
      <c r="M37" s="52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s="54" customFormat="1" ht="15" customHeight="1">
      <c r="A38" s="52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52"/>
      <c r="M38" s="52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s="22" customFormat="1" ht="13.8" customHeight="1">
      <c r="A39" s="50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51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s="22" customFormat="1" ht="13.8" customHeight="1">
      <c r="A40" s="50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51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s="22" customFormat="1" ht="13.8" customHeight="1">
      <c r="A41" s="50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51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s="54" customFormat="1" ht="19.2" customHeight="1">
      <c r="A42" s="61" t="s">
        <v>107</v>
      </c>
      <c r="B42" s="62" t="s">
        <v>108</v>
      </c>
      <c r="C42" s="63" t="s">
        <v>109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5"/>
      <c r="O42" s="64" t="s">
        <v>110</v>
      </c>
      <c r="P42" s="44"/>
      <c r="Q42" s="44"/>
      <c r="R42" s="44"/>
      <c r="S42" s="45"/>
      <c r="T42" s="64" t="s">
        <v>111</v>
      </c>
      <c r="U42" s="44"/>
      <c r="V42" s="44"/>
      <c r="W42" s="45"/>
      <c r="X42" s="65" t="s">
        <v>112</v>
      </c>
      <c r="Y42" s="44"/>
      <c r="Z42" s="45"/>
    </row>
    <row r="43" spans="1:26" s="22" customFormat="1" ht="16.5" customHeight="1">
      <c r="A43" s="66" t="s">
        <v>113</v>
      </c>
      <c r="B43" s="61" t="s">
        <v>114</v>
      </c>
      <c r="C43" s="67" t="s">
        <v>115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5"/>
      <c r="O43" s="68" t="s">
        <v>30</v>
      </c>
      <c r="P43" s="44"/>
      <c r="Q43" s="44"/>
      <c r="R43" s="44"/>
      <c r="S43" s="45"/>
      <c r="T43" s="68" t="s">
        <v>116</v>
      </c>
      <c r="U43" s="44"/>
      <c r="V43" s="44"/>
      <c r="W43" s="45"/>
      <c r="X43" s="68">
        <v>1</v>
      </c>
      <c r="Y43" s="44"/>
      <c r="Z43" s="45"/>
    </row>
    <row r="44" spans="1:26" s="22" customFormat="1" ht="16.5" customHeight="1">
      <c r="A44" s="47"/>
      <c r="B44" s="61" t="s">
        <v>117</v>
      </c>
      <c r="C44" s="67" t="s">
        <v>118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5"/>
      <c r="O44" s="68" t="s">
        <v>30</v>
      </c>
      <c r="P44" s="44"/>
      <c r="Q44" s="44"/>
      <c r="R44" s="44"/>
      <c r="S44" s="45"/>
      <c r="T44" s="68" t="s">
        <v>119</v>
      </c>
      <c r="U44" s="44"/>
      <c r="V44" s="44"/>
      <c r="W44" s="45"/>
      <c r="X44" s="68">
        <v>1</v>
      </c>
      <c r="Y44" s="44"/>
      <c r="Z44" s="45"/>
    </row>
    <row r="45" spans="1:26" s="22" customFormat="1" ht="16.5" customHeight="1">
      <c r="A45" s="47"/>
      <c r="B45" s="61" t="s">
        <v>120</v>
      </c>
      <c r="C45" s="67" t="s">
        <v>121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5"/>
      <c r="O45" s="68" t="s">
        <v>122</v>
      </c>
      <c r="P45" s="44"/>
      <c r="Q45" s="44"/>
      <c r="R45" s="44"/>
      <c r="S45" s="45"/>
      <c r="T45" s="68" t="s">
        <v>123</v>
      </c>
      <c r="U45" s="44"/>
      <c r="V45" s="44"/>
      <c r="W45" s="45"/>
      <c r="X45" s="68">
        <v>6</v>
      </c>
      <c r="Y45" s="44"/>
      <c r="Z45" s="45"/>
    </row>
    <row r="46" spans="1:26" s="22" customFormat="1" ht="16.5" customHeight="1">
      <c r="A46" s="47"/>
      <c r="B46" s="61" t="s">
        <v>124</v>
      </c>
      <c r="C46" s="67" t="s">
        <v>125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5"/>
      <c r="O46" s="68" t="s">
        <v>126</v>
      </c>
      <c r="P46" s="44"/>
      <c r="Q46" s="44"/>
      <c r="R46" s="44"/>
      <c r="S46" s="45"/>
      <c r="T46" s="68" t="s">
        <v>127</v>
      </c>
      <c r="U46" s="44"/>
      <c r="V46" s="44"/>
      <c r="W46" s="45"/>
      <c r="X46" s="68">
        <v>6</v>
      </c>
      <c r="Y46" s="44"/>
      <c r="Z46" s="45"/>
    </row>
    <row r="47" spans="1:26" s="22" customFormat="1" ht="16.5" customHeight="1">
      <c r="A47" s="38"/>
      <c r="B47" s="61" t="s">
        <v>128</v>
      </c>
      <c r="C47" s="67" t="s">
        <v>129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5"/>
      <c r="O47" s="68" t="s">
        <v>126</v>
      </c>
      <c r="P47" s="44"/>
      <c r="Q47" s="44"/>
      <c r="R47" s="44"/>
      <c r="S47" s="45"/>
      <c r="T47" s="68" t="s">
        <v>130</v>
      </c>
      <c r="U47" s="44"/>
      <c r="V47" s="44"/>
      <c r="W47" s="45"/>
      <c r="X47" s="68">
        <v>6</v>
      </c>
      <c r="Y47" s="44"/>
      <c r="Z47" s="45"/>
    </row>
    <row r="48" spans="1:26" s="22" customFormat="1" ht="16.5" customHeight="1">
      <c r="A48" s="69" t="s">
        <v>131</v>
      </c>
      <c r="B48" s="61" t="s">
        <v>132</v>
      </c>
      <c r="C48" s="67" t="s">
        <v>133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5"/>
      <c r="O48" s="68" t="s">
        <v>134</v>
      </c>
      <c r="P48" s="44"/>
      <c r="Q48" s="44"/>
      <c r="R48" s="44"/>
      <c r="S48" s="45"/>
      <c r="T48" s="68" t="s">
        <v>135</v>
      </c>
      <c r="U48" s="44"/>
      <c r="V48" s="44"/>
      <c r="W48" s="45"/>
      <c r="X48" s="68">
        <v>2</v>
      </c>
      <c r="Y48" s="44"/>
      <c r="Z48" s="45"/>
    </row>
    <row r="49" spans="1:26" s="22" customFormat="1" ht="16.5" customHeight="1">
      <c r="A49" s="40"/>
      <c r="B49" s="61" t="s">
        <v>136</v>
      </c>
      <c r="C49" s="67" t="s">
        <v>137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5"/>
      <c r="O49" s="68" t="s">
        <v>138</v>
      </c>
      <c r="P49" s="44"/>
      <c r="Q49" s="44"/>
      <c r="R49" s="44"/>
      <c r="S49" s="45"/>
      <c r="T49" s="68" t="s">
        <v>139</v>
      </c>
      <c r="U49" s="44"/>
      <c r="V49" s="44"/>
      <c r="W49" s="45"/>
      <c r="X49" s="68">
        <v>1</v>
      </c>
      <c r="Y49" s="44"/>
      <c r="Z49" s="45"/>
    </row>
    <row r="50" spans="1:26" s="22" customFormat="1" ht="16.5" customHeight="1">
      <c r="A50" s="69" t="s">
        <v>140</v>
      </c>
      <c r="B50" s="61" t="s">
        <v>141</v>
      </c>
      <c r="C50" s="67" t="s">
        <v>142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5"/>
      <c r="O50" s="68" t="s">
        <v>143</v>
      </c>
      <c r="P50" s="44"/>
      <c r="Q50" s="44"/>
      <c r="R50" s="44"/>
      <c r="S50" s="45"/>
      <c r="T50" s="68" t="s">
        <v>144</v>
      </c>
      <c r="U50" s="44"/>
      <c r="V50" s="44"/>
      <c r="W50" s="45"/>
      <c r="X50" s="68">
        <v>1</v>
      </c>
      <c r="Y50" s="44"/>
      <c r="Z50" s="45"/>
    </row>
    <row r="51" spans="1:26" s="22" customFormat="1" ht="16.5" customHeight="1">
      <c r="A51" s="70"/>
      <c r="B51" s="61" t="s">
        <v>145</v>
      </c>
      <c r="C51" s="67" t="s">
        <v>146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5"/>
      <c r="O51" s="68" t="s">
        <v>143</v>
      </c>
      <c r="P51" s="44"/>
      <c r="Q51" s="44"/>
      <c r="R51" s="44"/>
      <c r="S51" s="45"/>
      <c r="T51" s="68" t="s">
        <v>147</v>
      </c>
      <c r="U51" s="44"/>
      <c r="V51" s="44"/>
      <c r="W51" s="45"/>
      <c r="X51" s="68">
        <v>4</v>
      </c>
      <c r="Y51" s="44"/>
      <c r="Z51" s="45"/>
    </row>
    <row r="52" spans="1:26" s="22" customFormat="1" ht="16.5" customHeight="1">
      <c r="A52" s="70"/>
      <c r="B52" s="61" t="s">
        <v>148</v>
      </c>
      <c r="C52" s="67" t="s">
        <v>149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5"/>
      <c r="O52" s="68" t="s">
        <v>30</v>
      </c>
      <c r="P52" s="44"/>
      <c r="Q52" s="44"/>
      <c r="R52" s="44"/>
      <c r="S52" s="45"/>
      <c r="T52" s="68" t="s">
        <v>150</v>
      </c>
      <c r="U52" s="44"/>
      <c r="V52" s="44"/>
      <c r="W52" s="45"/>
      <c r="X52" s="68">
        <v>1</v>
      </c>
      <c r="Y52" s="44"/>
      <c r="Z52" s="45"/>
    </row>
    <row r="53" spans="1:26" s="22" customFormat="1" ht="16.5" customHeight="1">
      <c r="A53" s="40"/>
      <c r="B53" s="61" t="s">
        <v>151</v>
      </c>
      <c r="C53" s="67" t="s">
        <v>152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5"/>
      <c r="O53" s="68" t="s">
        <v>30</v>
      </c>
      <c r="P53" s="44"/>
      <c r="Q53" s="44"/>
      <c r="R53" s="44"/>
      <c r="S53" s="45"/>
      <c r="T53" s="68" t="s">
        <v>153</v>
      </c>
      <c r="U53" s="44"/>
      <c r="V53" s="44"/>
      <c r="W53" s="45"/>
      <c r="X53" s="68">
        <v>1</v>
      </c>
      <c r="Y53" s="44"/>
      <c r="Z53" s="45"/>
    </row>
    <row r="54" spans="1:26" s="22" customFormat="1" ht="16.5" customHeight="1">
      <c r="A54" s="71" t="s">
        <v>154</v>
      </c>
      <c r="B54" s="61" t="s">
        <v>155</v>
      </c>
      <c r="C54" s="67" t="s">
        <v>156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5"/>
      <c r="O54" s="68" t="s">
        <v>157</v>
      </c>
      <c r="P54" s="44"/>
      <c r="Q54" s="44"/>
      <c r="R54" s="44"/>
      <c r="S54" s="45"/>
      <c r="T54" s="68" t="s">
        <v>158</v>
      </c>
      <c r="U54" s="44"/>
      <c r="V54" s="44"/>
      <c r="W54" s="45"/>
      <c r="X54" s="68">
        <v>1</v>
      </c>
      <c r="Y54" s="44"/>
      <c r="Z54" s="45"/>
    </row>
    <row r="55" spans="1:26" s="22" customFormat="1" ht="16.5" customHeight="1">
      <c r="A55" s="70"/>
      <c r="B55" s="61" t="s">
        <v>159</v>
      </c>
      <c r="C55" s="67" t="s">
        <v>160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5"/>
      <c r="O55" s="68" t="s">
        <v>143</v>
      </c>
      <c r="P55" s="44"/>
      <c r="Q55" s="44"/>
      <c r="R55" s="44"/>
      <c r="S55" s="45"/>
      <c r="T55" s="68" t="s">
        <v>161</v>
      </c>
      <c r="U55" s="44"/>
      <c r="V55" s="44"/>
      <c r="W55" s="45"/>
      <c r="X55" s="68">
        <v>2</v>
      </c>
      <c r="Y55" s="44"/>
      <c r="Z55" s="45"/>
    </row>
    <row r="56" spans="1:26" s="22" customFormat="1" ht="16.5" customHeight="1">
      <c r="A56" s="70"/>
      <c r="B56" s="61" t="s">
        <v>162</v>
      </c>
      <c r="C56" s="67" t="s">
        <v>163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5"/>
      <c r="O56" s="68" t="s">
        <v>143</v>
      </c>
      <c r="P56" s="44"/>
      <c r="Q56" s="44"/>
      <c r="R56" s="44"/>
      <c r="S56" s="45"/>
      <c r="T56" s="68" t="s">
        <v>164</v>
      </c>
      <c r="U56" s="44"/>
      <c r="V56" s="44"/>
      <c r="W56" s="45"/>
      <c r="X56" s="68">
        <v>2</v>
      </c>
      <c r="Y56" s="44"/>
      <c r="Z56" s="45"/>
    </row>
    <row r="57" spans="1:26" s="22" customFormat="1" ht="16.5" customHeight="1">
      <c r="A57" s="70"/>
      <c r="B57" s="61" t="s">
        <v>165</v>
      </c>
      <c r="C57" s="67" t="s">
        <v>166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5"/>
      <c r="O57" s="68" t="s">
        <v>143</v>
      </c>
      <c r="P57" s="44"/>
      <c r="Q57" s="44"/>
      <c r="R57" s="44"/>
      <c r="S57" s="45"/>
      <c r="T57" s="68" t="s">
        <v>167</v>
      </c>
      <c r="U57" s="44"/>
      <c r="V57" s="44"/>
      <c r="W57" s="45"/>
      <c r="X57" s="68">
        <v>2</v>
      </c>
      <c r="Y57" s="44"/>
      <c r="Z57" s="45"/>
    </row>
    <row r="58" spans="1:26" s="22" customFormat="1" ht="16.5" customHeight="1">
      <c r="A58" s="40"/>
      <c r="B58" s="61" t="s">
        <v>168</v>
      </c>
      <c r="C58" s="67" t="s">
        <v>169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5"/>
      <c r="O58" s="68" t="s">
        <v>143</v>
      </c>
      <c r="P58" s="44"/>
      <c r="Q58" s="44"/>
      <c r="R58" s="44"/>
      <c r="S58" s="45"/>
      <c r="T58" s="68" t="s">
        <v>170</v>
      </c>
      <c r="U58" s="44"/>
      <c r="V58" s="44"/>
      <c r="W58" s="45"/>
      <c r="X58" s="68">
        <v>22</v>
      </c>
      <c r="Y58" s="44"/>
      <c r="Z58" s="45"/>
    </row>
    <row r="59" spans="1:26" s="22" customFormat="1" ht="16.5" customHeight="1">
      <c r="A59" s="72" t="s">
        <v>171</v>
      </c>
      <c r="B59" s="61" t="s">
        <v>172</v>
      </c>
      <c r="C59" s="67" t="s">
        <v>173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5"/>
      <c r="O59" s="68" t="s">
        <v>143</v>
      </c>
      <c r="P59" s="44"/>
      <c r="Q59" s="44"/>
      <c r="R59" s="44"/>
      <c r="S59" s="45"/>
      <c r="T59" s="68" t="s">
        <v>174</v>
      </c>
      <c r="U59" s="44"/>
      <c r="V59" s="44"/>
      <c r="W59" s="45"/>
      <c r="X59" s="68">
        <v>8</v>
      </c>
      <c r="Y59" s="44"/>
      <c r="Z59" s="45"/>
    </row>
    <row r="60" spans="1:26" s="22" customFormat="1" ht="16.5" customHeight="1">
      <c r="A60" s="72" t="s">
        <v>175</v>
      </c>
      <c r="B60" s="61" t="s">
        <v>176</v>
      </c>
      <c r="C60" s="67" t="s">
        <v>125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5"/>
      <c r="O60" s="68" t="s">
        <v>30</v>
      </c>
      <c r="P60" s="44"/>
      <c r="Q60" s="44"/>
      <c r="R60" s="44"/>
      <c r="S60" s="45"/>
      <c r="T60" s="68" t="s">
        <v>177</v>
      </c>
      <c r="U60" s="44"/>
      <c r="V60" s="44"/>
      <c r="W60" s="45"/>
      <c r="X60" s="68">
        <v>1</v>
      </c>
      <c r="Y60" s="44"/>
      <c r="Z60" s="45"/>
    </row>
    <row r="61" spans="1:26" s="22" customFormat="1" ht="16.5" customHeight="1">
      <c r="A61" s="73" t="s">
        <v>178</v>
      </c>
      <c r="B61" s="61" t="s">
        <v>179</v>
      </c>
      <c r="C61" s="67" t="s">
        <v>160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5"/>
      <c r="O61" s="68" t="s">
        <v>143</v>
      </c>
      <c r="P61" s="44"/>
      <c r="Q61" s="44"/>
      <c r="R61" s="44"/>
      <c r="S61" s="45"/>
      <c r="T61" s="68" t="s">
        <v>161</v>
      </c>
      <c r="U61" s="44"/>
      <c r="V61" s="44"/>
      <c r="W61" s="45"/>
      <c r="X61" s="68">
        <v>2</v>
      </c>
      <c r="Y61" s="44"/>
      <c r="Z61" s="45"/>
    </row>
    <row r="62" spans="1:26" s="22" customFormat="1" ht="16.5" customHeight="1">
      <c r="A62" s="38"/>
      <c r="B62" s="61" t="s">
        <v>180</v>
      </c>
      <c r="C62" s="67" t="s">
        <v>181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5"/>
      <c r="O62" s="68" t="s">
        <v>143</v>
      </c>
      <c r="P62" s="44"/>
      <c r="Q62" s="44"/>
      <c r="R62" s="44"/>
      <c r="S62" s="45"/>
      <c r="T62" s="68" t="s">
        <v>182</v>
      </c>
      <c r="U62" s="44"/>
      <c r="V62" s="44"/>
      <c r="W62" s="45"/>
      <c r="X62" s="68">
        <v>1</v>
      </c>
      <c r="Y62" s="44"/>
      <c r="Z62" s="45"/>
    </row>
    <row r="63" spans="1:26" s="22" customFormat="1" ht="16.5" customHeight="1">
      <c r="A63" s="72" t="s">
        <v>183</v>
      </c>
      <c r="B63" s="61" t="s">
        <v>184</v>
      </c>
      <c r="C63" s="67" t="s">
        <v>129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5"/>
      <c r="O63" s="68" t="s">
        <v>126</v>
      </c>
      <c r="P63" s="44"/>
      <c r="Q63" s="44"/>
      <c r="R63" s="44"/>
      <c r="S63" s="45"/>
      <c r="T63" s="68" t="s">
        <v>130</v>
      </c>
      <c r="U63" s="44"/>
      <c r="V63" s="44"/>
      <c r="W63" s="45"/>
      <c r="X63" s="68">
        <v>1</v>
      </c>
      <c r="Y63" s="44"/>
      <c r="Z63" s="45"/>
    </row>
    <row r="64" spans="1:26" s="22" customFormat="1" ht="16.5" customHeight="1">
      <c r="A64" s="72" t="s">
        <v>185</v>
      </c>
      <c r="B64" s="61" t="s">
        <v>186</v>
      </c>
      <c r="C64" s="67" t="s">
        <v>156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5"/>
      <c r="O64" s="68" t="s">
        <v>157</v>
      </c>
      <c r="P64" s="44"/>
      <c r="Q64" s="44"/>
      <c r="R64" s="44"/>
      <c r="S64" s="45"/>
      <c r="T64" s="68" t="s">
        <v>158</v>
      </c>
      <c r="U64" s="44"/>
      <c r="V64" s="44"/>
      <c r="W64" s="45"/>
      <c r="X64" s="68">
        <v>1</v>
      </c>
      <c r="Y64" s="44"/>
      <c r="Z64" s="45"/>
    </row>
    <row r="65" spans="1:26" s="22" customFormat="1" ht="16.5" customHeight="1">
      <c r="A65" s="72" t="s">
        <v>187</v>
      </c>
      <c r="B65" s="61" t="s">
        <v>188</v>
      </c>
      <c r="C65" s="67" t="s">
        <v>115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5"/>
      <c r="O65" s="68" t="s">
        <v>30</v>
      </c>
      <c r="P65" s="44"/>
      <c r="Q65" s="44"/>
      <c r="R65" s="44"/>
      <c r="S65" s="45"/>
      <c r="T65" s="68" t="s">
        <v>11</v>
      </c>
      <c r="U65" s="44"/>
      <c r="V65" s="44"/>
      <c r="W65" s="45"/>
      <c r="X65" s="68">
        <v>1</v>
      </c>
      <c r="Y65" s="44"/>
      <c r="Z65" s="45"/>
    </row>
    <row r="66" spans="1:26" s="22" customFormat="1" ht="16.5" customHeight="1">
      <c r="A66" s="72" t="s">
        <v>189</v>
      </c>
      <c r="B66" s="61" t="s">
        <v>190</v>
      </c>
      <c r="C66" s="67" t="s">
        <v>149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5"/>
      <c r="O66" s="68" t="s">
        <v>30</v>
      </c>
      <c r="P66" s="44"/>
      <c r="Q66" s="44"/>
      <c r="R66" s="44"/>
      <c r="S66" s="45"/>
      <c r="T66" s="68" t="s">
        <v>150</v>
      </c>
      <c r="U66" s="44"/>
      <c r="V66" s="44"/>
      <c r="W66" s="45"/>
      <c r="X66" s="68">
        <v>1</v>
      </c>
      <c r="Y66" s="44"/>
      <c r="Z66" s="45"/>
    </row>
    <row r="67" spans="1:26" s="22" customFormat="1" ht="16.5" customHeight="1">
      <c r="A67" s="72" t="s">
        <v>191</v>
      </c>
      <c r="B67" s="61" t="s">
        <v>192</v>
      </c>
      <c r="C67" s="67" t="s">
        <v>193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5"/>
      <c r="O67" s="68" t="s">
        <v>126</v>
      </c>
      <c r="P67" s="44"/>
      <c r="Q67" s="44"/>
      <c r="R67" s="44"/>
      <c r="S67" s="45"/>
      <c r="T67" s="68" t="s">
        <v>127</v>
      </c>
      <c r="U67" s="44"/>
      <c r="V67" s="44"/>
      <c r="W67" s="45"/>
      <c r="X67" s="68">
        <v>6</v>
      </c>
      <c r="Y67" s="44"/>
      <c r="Z67" s="45"/>
    </row>
    <row r="68" spans="1:26" s="22" customFormat="1" ht="16.5" customHeight="1">
      <c r="A68" s="61">
        <v>13</v>
      </c>
      <c r="B68" s="61" t="s">
        <v>194</v>
      </c>
      <c r="C68" s="74" t="s">
        <v>57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5"/>
      <c r="O68" s="75" t="s">
        <v>30</v>
      </c>
      <c r="P68" s="44"/>
      <c r="Q68" s="44"/>
      <c r="R68" s="44"/>
      <c r="S68" s="45"/>
      <c r="T68" s="68" t="s">
        <v>116</v>
      </c>
      <c r="U68" s="44"/>
      <c r="V68" s="44"/>
      <c r="W68" s="45"/>
      <c r="X68" s="68">
        <v>1</v>
      </c>
      <c r="Y68" s="44"/>
      <c r="Z68" s="45"/>
    </row>
    <row r="69" spans="1:26" s="22" customFormat="1" ht="16.5" customHeight="1">
      <c r="A69" s="61" t="s">
        <v>72</v>
      </c>
      <c r="B69" s="61" t="s">
        <v>195</v>
      </c>
      <c r="C69" s="74" t="s">
        <v>196</v>
      </c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5"/>
      <c r="O69" s="75" t="s">
        <v>30</v>
      </c>
      <c r="P69" s="44"/>
      <c r="Q69" s="44"/>
      <c r="R69" s="44"/>
      <c r="S69" s="45"/>
      <c r="T69" s="68" t="s">
        <v>119</v>
      </c>
      <c r="U69" s="44"/>
      <c r="V69" s="44"/>
      <c r="W69" s="45"/>
      <c r="X69" s="68">
        <v>1</v>
      </c>
      <c r="Y69" s="44"/>
      <c r="Z69" s="45"/>
    </row>
    <row r="70" spans="1:26" s="22" customFormat="1" ht="16.5" customHeight="1">
      <c r="A70" s="61" t="s">
        <v>72</v>
      </c>
      <c r="B70" s="61" t="s">
        <v>197</v>
      </c>
      <c r="C70" s="74" t="s">
        <v>198</v>
      </c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5"/>
      <c r="O70" s="75" t="s">
        <v>122</v>
      </c>
      <c r="P70" s="44"/>
      <c r="Q70" s="44"/>
      <c r="R70" s="44"/>
      <c r="S70" s="45"/>
      <c r="T70" s="68" t="s">
        <v>123</v>
      </c>
      <c r="U70" s="44"/>
      <c r="V70" s="44"/>
      <c r="W70" s="45"/>
      <c r="X70" s="68">
        <v>6</v>
      </c>
      <c r="Y70" s="44"/>
      <c r="Z70" s="45"/>
    </row>
    <row r="71" spans="1:26" s="22" customFormat="1" ht="16.5" customHeight="1">
      <c r="A71" s="61" t="s">
        <v>72</v>
      </c>
      <c r="B71" s="61" t="s">
        <v>199</v>
      </c>
      <c r="C71" s="74" t="s">
        <v>200</v>
      </c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5"/>
      <c r="O71" s="75" t="s">
        <v>126</v>
      </c>
      <c r="P71" s="44"/>
      <c r="Q71" s="44"/>
      <c r="R71" s="44"/>
      <c r="S71" s="45"/>
      <c r="T71" s="68" t="s">
        <v>127</v>
      </c>
      <c r="U71" s="44"/>
      <c r="V71" s="44"/>
      <c r="W71" s="45"/>
      <c r="X71" s="68">
        <v>6</v>
      </c>
      <c r="Y71" s="44"/>
      <c r="Z71" s="45"/>
    </row>
    <row r="72" spans="1:26" s="22" customFormat="1" ht="16.5" customHeight="1">
      <c r="A72" s="61" t="s">
        <v>72</v>
      </c>
      <c r="B72" s="61" t="s">
        <v>201</v>
      </c>
      <c r="C72" s="74" t="s">
        <v>202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5"/>
      <c r="O72" s="75" t="s">
        <v>126</v>
      </c>
      <c r="P72" s="44"/>
      <c r="Q72" s="44"/>
      <c r="R72" s="44"/>
      <c r="S72" s="45"/>
      <c r="T72" s="68" t="s">
        <v>130</v>
      </c>
      <c r="U72" s="44"/>
      <c r="V72" s="44"/>
      <c r="W72" s="45"/>
      <c r="X72" s="68">
        <v>6</v>
      </c>
      <c r="Y72" s="44"/>
      <c r="Z72" s="45"/>
    </row>
    <row r="73" spans="1:26" s="22" customFormat="1" ht="16.5" customHeight="1">
      <c r="A73" s="61">
        <v>14</v>
      </c>
      <c r="B73" s="76" t="s">
        <v>203</v>
      </c>
      <c r="C73" s="74" t="s">
        <v>204</v>
      </c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5"/>
      <c r="O73" s="75" t="s">
        <v>143</v>
      </c>
      <c r="P73" s="44"/>
      <c r="Q73" s="44"/>
      <c r="R73" s="44"/>
      <c r="S73" s="45"/>
      <c r="T73" s="68" t="s">
        <v>144</v>
      </c>
      <c r="U73" s="44"/>
      <c r="V73" s="44"/>
      <c r="W73" s="45"/>
      <c r="X73" s="77">
        <v>1</v>
      </c>
      <c r="Y73" s="44"/>
      <c r="Z73" s="45"/>
    </row>
    <row r="74" spans="1:26" s="22" customFormat="1" ht="16.5" customHeight="1">
      <c r="A74" s="61" t="s">
        <v>72</v>
      </c>
      <c r="B74" s="76" t="s">
        <v>205</v>
      </c>
      <c r="C74" s="74" t="s">
        <v>206</v>
      </c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5"/>
      <c r="O74" s="75" t="s">
        <v>143</v>
      </c>
      <c r="P74" s="44"/>
      <c r="Q74" s="44"/>
      <c r="R74" s="44"/>
      <c r="S74" s="45"/>
      <c r="T74" s="68" t="s">
        <v>147</v>
      </c>
      <c r="U74" s="44"/>
      <c r="V74" s="44"/>
      <c r="W74" s="45"/>
      <c r="X74" s="77">
        <v>4</v>
      </c>
      <c r="Y74" s="44"/>
      <c r="Z74" s="45"/>
    </row>
    <row r="75" spans="1:26" s="22" customFormat="1" ht="16.5" customHeight="1">
      <c r="A75" s="61" t="s">
        <v>72</v>
      </c>
      <c r="B75" s="76" t="s">
        <v>207</v>
      </c>
      <c r="C75" s="74" t="s">
        <v>208</v>
      </c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5"/>
      <c r="O75" s="75" t="s">
        <v>30</v>
      </c>
      <c r="P75" s="44"/>
      <c r="Q75" s="44"/>
      <c r="R75" s="44"/>
      <c r="S75" s="45"/>
      <c r="T75" s="68" t="s">
        <v>150</v>
      </c>
      <c r="U75" s="44"/>
      <c r="V75" s="44"/>
      <c r="W75" s="45"/>
      <c r="X75" s="77">
        <v>1</v>
      </c>
      <c r="Y75" s="44"/>
      <c r="Z75" s="45"/>
    </row>
    <row r="76" spans="1:26" s="22" customFormat="1" ht="16.5" customHeight="1">
      <c r="A76" s="61" t="s">
        <v>72</v>
      </c>
      <c r="B76" s="76" t="s">
        <v>209</v>
      </c>
      <c r="C76" s="74" t="s">
        <v>210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5"/>
      <c r="O76" s="75" t="s">
        <v>30</v>
      </c>
      <c r="P76" s="44"/>
      <c r="Q76" s="44"/>
      <c r="R76" s="44"/>
      <c r="S76" s="45"/>
      <c r="T76" s="68" t="s">
        <v>153</v>
      </c>
      <c r="U76" s="44"/>
      <c r="V76" s="44"/>
      <c r="W76" s="45"/>
      <c r="X76" s="77">
        <v>1</v>
      </c>
      <c r="Y76" s="44"/>
      <c r="Z76" s="45"/>
    </row>
    <row r="77" spans="1:26" s="22" customFormat="1" ht="16.5" customHeight="1">
      <c r="A77" s="61">
        <v>15</v>
      </c>
      <c r="B77" s="61" t="s">
        <v>211</v>
      </c>
      <c r="C77" s="74" t="s">
        <v>212</v>
      </c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5"/>
      <c r="O77" s="68" t="s">
        <v>157</v>
      </c>
      <c r="P77" s="44"/>
      <c r="Q77" s="44"/>
      <c r="R77" s="44"/>
      <c r="S77" s="45"/>
      <c r="T77" s="68" t="s">
        <v>158</v>
      </c>
      <c r="U77" s="44"/>
      <c r="V77" s="44"/>
      <c r="W77" s="45"/>
      <c r="X77" s="68">
        <v>1</v>
      </c>
      <c r="Y77" s="44"/>
      <c r="Z77" s="45"/>
    </row>
    <row r="78" spans="1:26" s="22" customFormat="1" ht="16.5" customHeight="1">
      <c r="A78" s="61" t="s">
        <v>72</v>
      </c>
      <c r="B78" s="61" t="s">
        <v>213</v>
      </c>
      <c r="C78" s="74" t="s">
        <v>214</v>
      </c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5"/>
      <c r="O78" s="75" t="s">
        <v>143</v>
      </c>
      <c r="P78" s="44"/>
      <c r="Q78" s="44"/>
      <c r="R78" s="44"/>
      <c r="S78" s="45"/>
      <c r="T78" s="68" t="s">
        <v>161</v>
      </c>
      <c r="U78" s="44"/>
      <c r="V78" s="44"/>
      <c r="W78" s="45"/>
      <c r="X78" s="68">
        <v>2</v>
      </c>
      <c r="Y78" s="44"/>
      <c r="Z78" s="45"/>
    </row>
    <row r="79" spans="1:26" s="22" customFormat="1" ht="16.5" customHeight="1">
      <c r="A79" s="61" t="s">
        <v>72</v>
      </c>
      <c r="B79" s="61" t="s">
        <v>215</v>
      </c>
      <c r="C79" s="74" t="s">
        <v>216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5"/>
      <c r="O79" s="75" t="s">
        <v>143</v>
      </c>
      <c r="P79" s="44"/>
      <c r="Q79" s="44"/>
      <c r="R79" s="44"/>
      <c r="S79" s="45"/>
      <c r="T79" s="68" t="s">
        <v>164</v>
      </c>
      <c r="U79" s="44"/>
      <c r="V79" s="44"/>
      <c r="W79" s="45"/>
      <c r="X79" s="68">
        <v>2</v>
      </c>
      <c r="Y79" s="44"/>
      <c r="Z79" s="45"/>
    </row>
    <row r="80" spans="1:26" s="22" customFormat="1" ht="16.5" customHeight="1">
      <c r="A80" s="61" t="s">
        <v>72</v>
      </c>
      <c r="B80" s="61" t="s">
        <v>217</v>
      </c>
      <c r="C80" s="74" t="s">
        <v>218</v>
      </c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5"/>
      <c r="O80" s="75" t="s">
        <v>143</v>
      </c>
      <c r="P80" s="44"/>
      <c r="Q80" s="44"/>
      <c r="R80" s="44"/>
      <c r="S80" s="45"/>
      <c r="T80" s="68" t="s">
        <v>167</v>
      </c>
      <c r="U80" s="44"/>
      <c r="V80" s="44"/>
      <c r="W80" s="45"/>
      <c r="X80" s="68">
        <v>2</v>
      </c>
      <c r="Y80" s="44"/>
      <c r="Z80" s="45"/>
    </row>
    <row r="81" spans="1:26" s="22" customFormat="1" ht="16.5" customHeight="1">
      <c r="A81" s="61" t="s">
        <v>72</v>
      </c>
      <c r="B81" s="61" t="s">
        <v>219</v>
      </c>
      <c r="C81" s="74" t="s">
        <v>220</v>
      </c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5"/>
      <c r="O81" s="75" t="s">
        <v>143</v>
      </c>
      <c r="P81" s="44"/>
      <c r="Q81" s="44"/>
      <c r="R81" s="44"/>
      <c r="S81" s="45"/>
      <c r="T81" s="68" t="s">
        <v>170</v>
      </c>
      <c r="U81" s="44"/>
      <c r="V81" s="44"/>
      <c r="W81" s="45"/>
      <c r="X81" s="68">
        <v>2</v>
      </c>
      <c r="Y81" s="44"/>
      <c r="Z81" s="45"/>
    </row>
    <row r="82" spans="1:26" s="22" customFormat="1" ht="20.399999999999999" customHeight="1">
      <c r="A82" s="50" t="s">
        <v>72</v>
      </c>
      <c r="B82" s="14"/>
      <c r="C82" s="78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78"/>
      <c r="P82" s="35"/>
      <c r="Q82" s="35"/>
      <c r="R82" s="35"/>
      <c r="S82" s="35"/>
      <c r="T82" s="78"/>
      <c r="U82" s="35"/>
      <c r="V82" s="35"/>
      <c r="W82" s="35"/>
      <c r="X82" s="78"/>
      <c r="Y82" s="35"/>
      <c r="Z82" s="35"/>
    </row>
    <row r="83" spans="1:26" ht="15.6" customHeight="1">
      <c r="A83" s="79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</sheetData>
  <sheetProtection sheet="1" objects="1" scenarios="1"/>
  <mergeCells count="267">
    <mergeCell ref="A31:B31"/>
    <mergeCell ref="U17:Z17"/>
    <mergeCell ref="X70:Z70"/>
    <mergeCell ref="O58:S58"/>
    <mergeCell ref="X48:Z48"/>
    <mergeCell ref="C68:N68"/>
    <mergeCell ref="G28:J28"/>
    <mergeCell ref="L34:M34"/>
    <mergeCell ref="O60:S60"/>
    <mergeCell ref="A29:B29"/>
    <mergeCell ref="C54:N54"/>
    <mergeCell ref="T69:W69"/>
    <mergeCell ref="C63:N63"/>
    <mergeCell ref="C22:H22"/>
    <mergeCell ref="O53:S53"/>
    <mergeCell ref="C23:H23"/>
    <mergeCell ref="T57:W57"/>
    <mergeCell ref="O54:S54"/>
    <mergeCell ref="X75:Z75"/>
    <mergeCell ref="C33:F33"/>
    <mergeCell ref="G27:J27"/>
    <mergeCell ref="T79:W79"/>
    <mergeCell ref="O82:S82"/>
    <mergeCell ref="C45:N45"/>
    <mergeCell ref="G30:J30"/>
    <mergeCell ref="L27:M27"/>
    <mergeCell ref="L36:M36"/>
    <mergeCell ref="O73:S73"/>
    <mergeCell ref="X82:Z82"/>
    <mergeCell ref="O78:S78"/>
    <mergeCell ref="C82:N82"/>
    <mergeCell ref="T45:W45"/>
    <mergeCell ref="X54:Z54"/>
    <mergeCell ref="X81:Z81"/>
    <mergeCell ref="L35:M35"/>
    <mergeCell ref="C72:N72"/>
    <mergeCell ref="O43:S43"/>
    <mergeCell ref="I19:N19"/>
    <mergeCell ref="T58:W58"/>
    <mergeCell ref="U19:Z19"/>
    <mergeCell ref="X71:Z71"/>
    <mergeCell ref="O19:T19"/>
    <mergeCell ref="O81:S81"/>
    <mergeCell ref="G26:J26"/>
    <mergeCell ref="X47:Z47"/>
    <mergeCell ref="T72:W72"/>
    <mergeCell ref="T81:W81"/>
    <mergeCell ref="X55:Z55"/>
    <mergeCell ref="X80:Z80"/>
    <mergeCell ref="A25:J25"/>
    <mergeCell ref="T82:W82"/>
    <mergeCell ref="O22:T22"/>
    <mergeCell ref="C56:N56"/>
    <mergeCell ref="T46:W46"/>
    <mergeCell ref="A32:B32"/>
    <mergeCell ref="T54:W54"/>
    <mergeCell ref="C29:F29"/>
    <mergeCell ref="C69:N69"/>
    <mergeCell ref="X43:Z43"/>
    <mergeCell ref="T63:W63"/>
    <mergeCell ref="C78:N78"/>
    <mergeCell ref="O42:S42"/>
    <mergeCell ref="A54:A58"/>
    <mergeCell ref="T74:W74"/>
    <mergeCell ref="O64:S64"/>
    <mergeCell ref="C62:N62"/>
    <mergeCell ref="T71:W71"/>
    <mergeCell ref="C31:F31"/>
    <mergeCell ref="O67:S67"/>
    <mergeCell ref="C74:N74"/>
    <mergeCell ref="G33:J33"/>
    <mergeCell ref="A34:B34"/>
    <mergeCell ref="T66:W66"/>
    <mergeCell ref="T75:W75"/>
    <mergeCell ref="C50:N50"/>
    <mergeCell ref="X53:Z53"/>
    <mergeCell ref="L32:M32"/>
    <mergeCell ref="C55:N55"/>
    <mergeCell ref="A50:A53"/>
    <mergeCell ref="X79:Z79"/>
    <mergeCell ref="O49:S49"/>
    <mergeCell ref="O63:S63"/>
    <mergeCell ref="L33:M33"/>
    <mergeCell ref="C52:N52"/>
    <mergeCell ref="X72:Z72"/>
    <mergeCell ref="O69:S69"/>
    <mergeCell ref="X77:Z77"/>
    <mergeCell ref="O61:S61"/>
    <mergeCell ref="X50:Z50"/>
    <mergeCell ref="C70:N70"/>
    <mergeCell ref="C48:N48"/>
    <mergeCell ref="X51:Z51"/>
    <mergeCell ref="X74:Z74"/>
    <mergeCell ref="O71:S71"/>
    <mergeCell ref="C43:N43"/>
    <mergeCell ref="X42:Z42"/>
    <mergeCell ref="O66:S66"/>
    <mergeCell ref="C76:N76"/>
    <mergeCell ref="T48:W48"/>
    <mergeCell ref="I15:N15"/>
    <mergeCell ref="C12:H13"/>
    <mergeCell ref="O12:T13"/>
    <mergeCell ref="O48:S48"/>
    <mergeCell ref="A1:V5"/>
    <mergeCell ref="C14:H14"/>
    <mergeCell ref="U15:Z15"/>
    <mergeCell ref="X52:Z52"/>
    <mergeCell ref="X67:Z67"/>
    <mergeCell ref="X61:Z61"/>
    <mergeCell ref="O16:T16"/>
    <mergeCell ref="G9:J9"/>
    <mergeCell ref="A12:A13"/>
    <mergeCell ref="U18:Z18"/>
    <mergeCell ref="I17:N17"/>
    <mergeCell ref="S9:V10"/>
    <mergeCell ref="C17:H17"/>
    <mergeCell ref="C67:N67"/>
    <mergeCell ref="L26:M26"/>
    <mergeCell ref="I12:N13"/>
    <mergeCell ref="U12:Z13"/>
    <mergeCell ref="A6:Z6"/>
    <mergeCell ref="C61:N61"/>
    <mergeCell ref="C30:F30"/>
    <mergeCell ref="O17:T17"/>
    <mergeCell ref="I20:N20"/>
    <mergeCell ref="L30:M30"/>
    <mergeCell ref="O75:S75"/>
    <mergeCell ref="A26:B26"/>
    <mergeCell ref="C81:N81"/>
    <mergeCell ref="C19:H19"/>
    <mergeCell ref="U20:Z20"/>
    <mergeCell ref="T53:W53"/>
    <mergeCell ref="O50:S50"/>
    <mergeCell ref="A48:A49"/>
    <mergeCell ref="A30:B30"/>
    <mergeCell ref="A61:A62"/>
    <mergeCell ref="A28:B28"/>
    <mergeCell ref="T76:W76"/>
    <mergeCell ref="C79:N79"/>
    <mergeCell ref="C73:N73"/>
    <mergeCell ref="T78:W78"/>
    <mergeCell ref="O51:S51"/>
    <mergeCell ref="C77:N77"/>
    <mergeCell ref="O74:S74"/>
    <mergeCell ref="T77:W77"/>
    <mergeCell ref="X76:Z76"/>
    <mergeCell ref="C71:N71"/>
    <mergeCell ref="U14:Z14"/>
    <mergeCell ref="O59:S59"/>
    <mergeCell ref="U23:Z23"/>
    <mergeCell ref="O80:S80"/>
    <mergeCell ref="O46:S46"/>
    <mergeCell ref="T68:W68"/>
    <mergeCell ref="U22:Z22"/>
    <mergeCell ref="X78:Z78"/>
    <mergeCell ref="I16:N16"/>
    <mergeCell ref="T61:W61"/>
    <mergeCell ref="T70:W70"/>
    <mergeCell ref="T80:W80"/>
    <mergeCell ref="O15:T15"/>
    <mergeCell ref="O57:S57"/>
    <mergeCell ref="C80:N80"/>
    <mergeCell ref="T67:W67"/>
    <mergeCell ref="C51:N51"/>
    <mergeCell ref="T55:W55"/>
    <mergeCell ref="O52:S52"/>
    <mergeCell ref="C49:N49"/>
    <mergeCell ref="O79:S79"/>
    <mergeCell ref="O72:S72"/>
    <mergeCell ref="C20:H20"/>
    <mergeCell ref="C64:N64"/>
    <mergeCell ref="C16:H16"/>
    <mergeCell ref="U16:Z16"/>
    <mergeCell ref="X62:Z62"/>
    <mergeCell ref="O77:S77"/>
    <mergeCell ref="C75:N75"/>
    <mergeCell ref="T56:W56"/>
    <mergeCell ref="X49:Z49"/>
    <mergeCell ref="C44:N44"/>
    <mergeCell ref="G29:J29"/>
    <mergeCell ref="I18:N18"/>
    <mergeCell ref="T43:W43"/>
    <mergeCell ref="X64:Z64"/>
    <mergeCell ref="C59:N59"/>
    <mergeCell ref="C28:F28"/>
    <mergeCell ref="X73:Z73"/>
    <mergeCell ref="C46:N46"/>
    <mergeCell ref="G31:J31"/>
    <mergeCell ref="C42:N42"/>
    <mergeCell ref="O76:S76"/>
    <mergeCell ref="C58:N58"/>
    <mergeCell ref="T64:W64"/>
    <mergeCell ref="T73:W73"/>
    <mergeCell ref="T51:W51"/>
    <mergeCell ref="C27:F27"/>
    <mergeCell ref="G8:J8"/>
    <mergeCell ref="T65:W65"/>
    <mergeCell ref="O62:S62"/>
    <mergeCell ref="O47:S47"/>
    <mergeCell ref="L31:M31"/>
    <mergeCell ref="O56:S56"/>
    <mergeCell ref="T50:W50"/>
    <mergeCell ref="T62:W62"/>
    <mergeCell ref="O70:S70"/>
    <mergeCell ref="T44:W44"/>
    <mergeCell ref="L40:M40"/>
    <mergeCell ref="C15:H15"/>
    <mergeCell ref="G10:J10"/>
    <mergeCell ref="O20:T20"/>
    <mergeCell ref="C34:J34"/>
    <mergeCell ref="C21:H21"/>
    <mergeCell ref="U21:Z21"/>
    <mergeCell ref="O21:T21"/>
    <mergeCell ref="X46:Z46"/>
    <mergeCell ref="C66:N66"/>
    <mergeCell ref="X45:Z45"/>
    <mergeCell ref="I14:N14"/>
    <mergeCell ref="O65:S65"/>
    <mergeCell ref="I23:N23"/>
    <mergeCell ref="D9:F9"/>
    <mergeCell ref="X60:Z60"/>
    <mergeCell ref="L39:M39"/>
    <mergeCell ref="O44:S44"/>
    <mergeCell ref="T49:W49"/>
    <mergeCell ref="X69:Z69"/>
    <mergeCell ref="C24:F24"/>
    <mergeCell ref="L29:M29"/>
    <mergeCell ref="X44:Z44"/>
    <mergeCell ref="X59:Z59"/>
    <mergeCell ref="T42:W42"/>
    <mergeCell ref="C57:N57"/>
    <mergeCell ref="C26:F26"/>
    <mergeCell ref="O23:T23"/>
    <mergeCell ref="O14:T14"/>
    <mergeCell ref="X63:Z63"/>
    <mergeCell ref="L28:M28"/>
    <mergeCell ref="X68:Z68"/>
    <mergeCell ref="I21:N21"/>
    <mergeCell ref="G32:J32"/>
    <mergeCell ref="O45:S45"/>
    <mergeCell ref="X58:Z58"/>
    <mergeCell ref="C60:N60"/>
    <mergeCell ref="O68:S68"/>
    <mergeCell ref="A7:B7"/>
    <mergeCell ref="A27:B27"/>
    <mergeCell ref="A15:A19"/>
    <mergeCell ref="A33:B33"/>
    <mergeCell ref="X57:Z57"/>
    <mergeCell ref="X66:Z66"/>
    <mergeCell ref="G7:K7"/>
    <mergeCell ref="A43:A47"/>
    <mergeCell ref="T47:W47"/>
    <mergeCell ref="C53:N53"/>
    <mergeCell ref="O55:S55"/>
    <mergeCell ref="L41:M41"/>
    <mergeCell ref="X56:Z56"/>
    <mergeCell ref="C18:H18"/>
    <mergeCell ref="T59:W59"/>
    <mergeCell ref="C65:N65"/>
    <mergeCell ref="C47:N47"/>
    <mergeCell ref="B12:B13"/>
    <mergeCell ref="T60:W60"/>
    <mergeCell ref="I22:N22"/>
    <mergeCell ref="X65:Z65"/>
    <mergeCell ref="T52:W52"/>
    <mergeCell ref="C32:F32"/>
    <mergeCell ref="O18:T18"/>
  </mergeCells>
  <pageMargins left="0.45" right="0.7" top="0.5" bottom="0.75" header="0.3" footer="0.3"/>
  <pageSetup scale="70" orientation="landscape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28"/>
  <sheetViews>
    <sheetView tabSelected="1" workbookViewId="0">
      <selection activeCell="L29" sqref="A1:XFD1048576"/>
    </sheetView>
  </sheetViews>
  <sheetFormatPr defaultRowHeight="14.4"/>
  <cols>
    <col min="1" max="1" width="10.77734375" style="14" customWidth="1"/>
    <col min="2" max="2" width="56.33203125" style="14" customWidth="1"/>
    <col min="3" max="18" width="3.88671875" style="14" customWidth="1"/>
    <col min="19" max="20" width="4.44140625" style="14" customWidth="1"/>
    <col min="21" max="26" width="4.88671875" style="14" customWidth="1"/>
    <col min="27" max="16384" width="8.88671875" style="14"/>
  </cols>
  <sheetData>
    <row r="1" spans="1:26" ht="15" customHeight="1">
      <c r="A1" s="11" t="s">
        <v>74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15" t="s">
        <v>221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s="22" customFormat="1" ht="17.399999999999999" customHeight="1">
      <c r="A7" s="16" t="s">
        <v>221</v>
      </c>
      <c r="B7" s="12"/>
      <c r="C7" s="17" t="s">
        <v>76</v>
      </c>
      <c r="D7" s="14"/>
      <c r="E7" s="18"/>
      <c r="F7" s="18"/>
      <c r="G7" s="19" t="str">
        <f>'ใบงาน Agilent_JOB 10'!F7</f>
        <v>xxxx</v>
      </c>
      <c r="H7" s="12"/>
      <c r="I7" s="12"/>
      <c r="J7" s="12"/>
      <c r="K7" s="14"/>
      <c r="L7" s="18"/>
      <c r="M7" s="18"/>
      <c r="N7" s="18"/>
      <c r="O7" s="18"/>
      <c r="P7" s="18"/>
      <c r="Q7" s="18"/>
      <c r="R7" s="18"/>
      <c r="S7" s="20" t="s">
        <v>6</v>
      </c>
      <c r="T7" s="14"/>
      <c r="U7" s="14"/>
      <c r="V7" s="14"/>
      <c r="W7" s="21" t="str">
        <f>'ใบงาน Agilent_JOB 10'!M7</f>
        <v>xxxx</v>
      </c>
      <c r="X7" s="21"/>
      <c r="Y7" s="21"/>
      <c r="Z7" s="21"/>
    </row>
    <row r="8" spans="1:26" s="22" customFormat="1" ht="21" customHeight="1">
      <c r="A8" s="23" t="s">
        <v>77</v>
      </c>
      <c r="B8" s="24" t="str">
        <f>'ใบงาน Agilent_JOB 10'!F8</f>
        <v>K9801-60094</v>
      </c>
      <c r="C8" s="24" t="s">
        <v>78</v>
      </c>
      <c r="D8" s="24"/>
      <c r="E8" s="24"/>
      <c r="F8" s="24"/>
      <c r="G8" s="25" t="str">
        <f>'ใบงาน Agilent_JOB 10'!F9</f>
        <v>-</v>
      </c>
      <c r="H8" s="12"/>
      <c r="I8" s="12"/>
      <c r="J8" s="12"/>
      <c r="K8" s="26"/>
      <c r="L8" s="26"/>
      <c r="M8" s="26"/>
      <c r="N8" s="26"/>
      <c r="O8" s="26"/>
      <c r="P8" s="26"/>
      <c r="Q8" s="26"/>
      <c r="R8" s="26"/>
      <c r="S8" s="26" t="s">
        <v>222</v>
      </c>
      <c r="T8" s="26"/>
      <c r="U8" s="14"/>
      <c r="V8" s="14"/>
      <c r="W8" s="22" t="str">
        <f>'ใบงาน Agilent_JOB 10'!M9</f>
        <v>PO12345</v>
      </c>
      <c r="X8" s="14"/>
      <c r="Y8" s="14"/>
      <c r="Z8" s="14"/>
    </row>
    <row r="9" spans="1:26" s="22" customFormat="1" ht="13.8" customHeight="1">
      <c r="A9" s="27" t="s">
        <v>72</v>
      </c>
      <c r="B9" s="12"/>
      <c r="C9" s="28"/>
      <c r="D9" s="28"/>
      <c r="E9" s="28"/>
      <c r="F9" s="28"/>
      <c r="G9" s="25" t="s">
        <v>72</v>
      </c>
      <c r="H9" s="12"/>
      <c r="I9" s="12"/>
      <c r="J9" s="12"/>
      <c r="K9" s="14"/>
      <c r="L9" s="18"/>
      <c r="M9" s="18"/>
      <c r="N9" s="18"/>
      <c r="O9" s="18"/>
      <c r="P9" s="18"/>
      <c r="Q9" s="18"/>
      <c r="R9" s="18"/>
      <c r="S9" s="14"/>
      <c r="T9" s="14"/>
      <c r="U9" s="14"/>
      <c r="V9" s="14"/>
      <c r="W9" s="14"/>
      <c r="X9" s="14"/>
      <c r="Y9" s="14"/>
      <c r="Z9" s="14"/>
    </row>
    <row r="10" spans="1:26" s="22" customFormat="1" ht="13.8" customHeight="1">
      <c r="A10" s="26" t="s">
        <v>223</v>
      </c>
      <c r="B10" s="18">
        <f>'ใบงาน Agilent_JOB 10'!M8/50</f>
        <v>40</v>
      </c>
      <c r="C10" s="18"/>
      <c r="D10" s="19" t="s">
        <v>72</v>
      </c>
      <c r="E10" s="12"/>
      <c r="F10" s="12"/>
      <c r="G10" s="29" t="s">
        <v>72</v>
      </c>
      <c r="H10" s="12"/>
      <c r="I10" s="12"/>
      <c r="J10" s="12"/>
      <c r="K10" s="17"/>
      <c r="L10" s="18"/>
      <c r="M10" s="18"/>
      <c r="N10" s="18"/>
      <c r="O10" s="18"/>
      <c r="P10" s="18"/>
      <c r="Q10" s="18"/>
      <c r="R10" s="18"/>
      <c r="S10" s="14"/>
      <c r="T10" s="14"/>
      <c r="U10" s="14"/>
      <c r="V10" s="14"/>
      <c r="W10" s="14"/>
      <c r="X10" s="14"/>
      <c r="Y10" s="14"/>
      <c r="Z10" s="14"/>
    </row>
    <row r="11" spans="1:26" s="22" customFormat="1" ht="13.8" customHeight="1">
      <c r="A11" s="14"/>
      <c r="B11" s="30"/>
      <c r="C11" s="18"/>
      <c r="D11" s="18"/>
      <c r="E11" s="18"/>
      <c r="F11" s="18"/>
      <c r="G11" s="29" t="s">
        <v>72</v>
      </c>
      <c r="H11" s="12"/>
      <c r="I11" s="12"/>
      <c r="J11" s="12"/>
      <c r="K11" s="18"/>
      <c r="L11" s="18"/>
      <c r="M11" s="18"/>
      <c r="N11" s="18"/>
      <c r="O11" s="18"/>
      <c r="P11" s="18"/>
      <c r="Q11" s="18"/>
      <c r="R11" s="18"/>
      <c r="S11" s="31"/>
      <c r="T11" s="12"/>
      <c r="U11" s="12"/>
      <c r="V11" s="12"/>
      <c r="W11" s="14"/>
      <c r="X11" s="14"/>
      <c r="Y11" s="14"/>
      <c r="Z11" s="14"/>
    </row>
    <row r="12" spans="1:26" s="22" customFormat="1" ht="13.8" customHeight="1">
      <c r="A12" s="18" t="s">
        <v>224</v>
      </c>
      <c r="B12" s="12"/>
      <c r="C12" s="18"/>
      <c r="D12" s="18"/>
      <c r="E12" s="18"/>
      <c r="F12" s="18"/>
      <c r="G12" s="29" t="s">
        <v>72</v>
      </c>
      <c r="H12" s="12"/>
      <c r="I12" s="12"/>
      <c r="J12" s="12"/>
      <c r="K12" s="18"/>
      <c r="L12" s="18"/>
      <c r="M12" s="18"/>
      <c r="N12" s="18"/>
      <c r="O12" s="18"/>
      <c r="P12" s="18"/>
      <c r="Q12" s="18"/>
      <c r="R12" s="18"/>
      <c r="S12" s="12"/>
      <c r="T12" s="12"/>
      <c r="U12" s="12"/>
      <c r="V12" s="12"/>
      <c r="W12" s="14"/>
      <c r="X12" s="14"/>
      <c r="Y12" s="14"/>
      <c r="Z12" s="14"/>
    </row>
    <row r="13" spans="1:26" s="22" customFormat="1" ht="13.8" customHeight="1">
      <c r="A13" s="18"/>
      <c r="B13" s="32"/>
      <c r="C13" s="18"/>
      <c r="D13" s="18"/>
      <c r="E13" s="18"/>
      <c r="F13" s="18"/>
      <c r="G13" s="17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4"/>
      <c r="V13" s="14"/>
      <c r="W13" s="14"/>
      <c r="X13" s="14"/>
      <c r="Y13" s="14"/>
      <c r="Z13" s="14"/>
    </row>
    <row r="14" spans="1:26" s="22" customFormat="1" ht="13.8" customHeight="1">
      <c r="A14" s="33" t="s">
        <v>22</v>
      </c>
      <c r="B14" s="33" t="s">
        <v>81</v>
      </c>
      <c r="C14" s="34" t="s">
        <v>82</v>
      </c>
      <c r="D14" s="35"/>
      <c r="E14" s="35"/>
      <c r="F14" s="35"/>
      <c r="G14" s="35"/>
      <c r="H14" s="36"/>
      <c r="I14" s="34" t="s">
        <v>53</v>
      </c>
      <c r="J14" s="35"/>
      <c r="K14" s="35"/>
      <c r="L14" s="35"/>
      <c r="M14" s="35"/>
      <c r="N14" s="36"/>
      <c r="O14" s="34" t="s">
        <v>54</v>
      </c>
      <c r="P14" s="35"/>
      <c r="Q14" s="35"/>
      <c r="R14" s="35"/>
      <c r="S14" s="35"/>
      <c r="T14" s="36"/>
      <c r="U14" s="37" t="s">
        <v>83</v>
      </c>
      <c r="V14" s="35"/>
      <c r="W14" s="35"/>
      <c r="X14" s="35"/>
      <c r="Y14" s="35"/>
      <c r="Z14" s="36"/>
    </row>
    <row r="15" spans="1:26" s="22" customFormat="1" ht="13.8" customHeight="1">
      <c r="A15" s="38"/>
      <c r="B15" s="38"/>
      <c r="C15" s="39"/>
      <c r="D15" s="32"/>
      <c r="E15" s="32"/>
      <c r="F15" s="32"/>
      <c r="G15" s="32"/>
      <c r="H15" s="40"/>
      <c r="I15" s="39"/>
      <c r="J15" s="32"/>
      <c r="K15" s="32"/>
      <c r="L15" s="32"/>
      <c r="M15" s="32"/>
      <c r="N15" s="40"/>
      <c r="O15" s="39"/>
      <c r="P15" s="32"/>
      <c r="Q15" s="32"/>
      <c r="R15" s="32"/>
      <c r="S15" s="32"/>
      <c r="T15" s="40"/>
      <c r="U15" s="39"/>
      <c r="V15" s="32"/>
      <c r="W15" s="32"/>
      <c r="X15" s="32"/>
      <c r="Y15" s="32"/>
      <c r="Z15" s="40"/>
    </row>
    <row r="16" spans="1:26" s="46" customFormat="1" ht="17.399999999999999" customHeight="1">
      <c r="A16" s="41">
        <v>1</v>
      </c>
      <c r="B16" s="42" t="s">
        <v>85</v>
      </c>
      <c r="C16" s="43"/>
      <c r="D16" s="44"/>
      <c r="E16" s="44"/>
      <c r="F16" s="44"/>
      <c r="G16" s="44"/>
      <c r="H16" s="45"/>
      <c r="I16" s="43"/>
      <c r="J16" s="44"/>
      <c r="K16" s="44"/>
      <c r="L16" s="44"/>
      <c r="M16" s="44"/>
      <c r="N16" s="45"/>
      <c r="O16" s="43"/>
      <c r="P16" s="44"/>
      <c r="Q16" s="44"/>
      <c r="R16" s="44"/>
      <c r="S16" s="44"/>
      <c r="T16" s="45"/>
      <c r="U16" s="43"/>
      <c r="V16" s="44"/>
      <c r="W16" s="44"/>
      <c r="X16" s="44"/>
      <c r="Y16" s="44"/>
      <c r="Z16" s="45"/>
    </row>
    <row r="17" spans="1:26" s="46" customFormat="1" ht="17.399999999999999" customHeight="1">
      <c r="A17" s="47"/>
      <c r="B17" s="42" t="s">
        <v>86</v>
      </c>
      <c r="C17" s="43"/>
      <c r="D17" s="44"/>
      <c r="E17" s="44"/>
      <c r="F17" s="44"/>
      <c r="G17" s="44"/>
      <c r="H17" s="45"/>
      <c r="I17" s="43"/>
      <c r="J17" s="44"/>
      <c r="K17" s="44"/>
      <c r="L17" s="44"/>
      <c r="M17" s="44"/>
      <c r="N17" s="45"/>
      <c r="O17" s="43"/>
      <c r="P17" s="44"/>
      <c r="Q17" s="44"/>
      <c r="R17" s="44"/>
      <c r="S17" s="44"/>
      <c r="T17" s="45"/>
      <c r="U17" s="43"/>
      <c r="V17" s="44"/>
      <c r="W17" s="44"/>
      <c r="X17" s="44"/>
      <c r="Y17" s="44"/>
      <c r="Z17" s="45"/>
    </row>
    <row r="18" spans="1:26" s="46" customFormat="1" ht="17.399999999999999" customHeight="1">
      <c r="A18" s="47"/>
      <c r="B18" s="42" t="s">
        <v>87</v>
      </c>
      <c r="C18" s="43"/>
      <c r="D18" s="44"/>
      <c r="E18" s="44"/>
      <c r="F18" s="44"/>
      <c r="G18" s="44"/>
      <c r="H18" s="45"/>
      <c r="I18" s="43"/>
      <c r="J18" s="44"/>
      <c r="K18" s="44"/>
      <c r="L18" s="44"/>
      <c r="M18" s="44"/>
      <c r="N18" s="45"/>
      <c r="O18" s="43"/>
      <c r="P18" s="44"/>
      <c r="Q18" s="44"/>
      <c r="R18" s="44"/>
      <c r="S18" s="44"/>
      <c r="T18" s="45"/>
      <c r="U18" s="43"/>
      <c r="V18" s="44"/>
      <c r="W18" s="44"/>
      <c r="X18" s="44"/>
      <c r="Y18" s="44"/>
      <c r="Z18" s="45"/>
    </row>
    <row r="19" spans="1:26" s="46" customFormat="1" ht="17.399999999999999" customHeight="1">
      <c r="A19" s="47"/>
      <c r="B19" s="42" t="s">
        <v>88</v>
      </c>
      <c r="C19" s="43"/>
      <c r="D19" s="44"/>
      <c r="E19" s="44"/>
      <c r="F19" s="44"/>
      <c r="G19" s="44"/>
      <c r="H19" s="45"/>
      <c r="I19" s="43"/>
      <c r="J19" s="44"/>
      <c r="K19" s="44"/>
      <c r="L19" s="44"/>
      <c r="M19" s="44"/>
      <c r="N19" s="45"/>
      <c r="O19" s="43"/>
      <c r="P19" s="44"/>
      <c r="Q19" s="44"/>
      <c r="R19" s="44"/>
      <c r="S19" s="44"/>
      <c r="T19" s="45"/>
      <c r="U19" s="43"/>
      <c r="V19" s="44"/>
      <c r="W19" s="44"/>
      <c r="X19" s="44"/>
      <c r="Y19" s="44"/>
      <c r="Z19" s="45"/>
    </row>
    <row r="20" spans="1:26" s="46" customFormat="1" ht="17.399999999999999" customHeight="1">
      <c r="A20" s="38"/>
      <c r="B20" s="42" t="s">
        <v>89</v>
      </c>
      <c r="C20" s="43"/>
      <c r="D20" s="44"/>
      <c r="E20" s="44"/>
      <c r="F20" s="44"/>
      <c r="G20" s="44"/>
      <c r="H20" s="45"/>
      <c r="I20" s="43"/>
      <c r="J20" s="44"/>
      <c r="K20" s="44"/>
      <c r="L20" s="44"/>
      <c r="M20" s="44"/>
      <c r="N20" s="45"/>
      <c r="O20" s="43"/>
      <c r="P20" s="44"/>
      <c r="Q20" s="44"/>
      <c r="R20" s="44"/>
      <c r="S20" s="44"/>
      <c r="T20" s="45"/>
      <c r="U20" s="43"/>
      <c r="V20" s="44"/>
      <c r="W20" s="44"/>
      <c r="X20" s="44"/>
      <c r="Y20" s="44"/>
      <c r="Z20" s="45"/>
    </row>
    <row r="21" spans="1:26" s="46" customFormat="1" ht="17.399999999999999" customHeight="1">
      <c r="A21" s="48">
        <v>2</v>
      </c>
      <c r="B21" s="49" t="s">
        <v>90</v>
      </c>
      <c r="C21" s="43"/>
      <c r="D21" s="44"/>
      <c r="E21" s="44"/>
      <c r="F21" s="44"/>
      <c r="G21" s="44"/>
      <c r="H21" s="45"/>
      <c r="I21" s="43"/>
      <c r="J21" s="44"/>
      <c r="K21" s="44"/>
      <c r="L21" s="44"/>
      <c r="M21" s="44"/>
      <c r="N21" s="45"/>
      <c r="O21" s="43"/>
      <c r="P21" s="44"/>
      <c r="Q21" s="44"/>
      <c r="R21" s="44"/>
      <c r="S21" s="44"/>
      <c r="T21" s="45"/>
      <c r="U21" s="43"/>
      <c r="V21" s="44"/>
      <c r="W21" s="44"/>
      <c r="X21" s="44"/>
      <c r="Y21" s="44"/>
      <c r="Z21" s="45"/>
    </row>
    <row r="22" spans="1:26" s="46" customFormat="1" ht="17.399999999999999" customHeight="1">
      <c r="A22" s="48">
        <v>3</v>
      </c>
      <c r="B22" s="49" t="s">
        <v>225</v>
      </c>
      <c r="C22" s="43"/>
      <c r="D22" s="44"/>
      <c r="E22" s="44"/>
      <c r="F22" s="44"/>
      <c r="G22" s="44"/>
      <c r="H22" s="45"/>
      <c r="I22" s="43"/>
      <c r="J22" s="44"/>
      <c r="K22" s="44"/>
      <c r="L22" s="44"/>
      <c r="M22" s="44"/>
      <c r="N22" s="45"/>
      <c r="O22" s="43"/>
      <c r="P22" s="44"/>
      <c r="Q22" s="44"/>
      <c r="R22" s="44"/>
      <c r="S22" s="44"/>
      <c r="T22" s="45"/>
      <c r="U22" s="43"/>
      <c r="V22" s="44"/>
      <c r="W22" s="44"/>
      <c r="X22" s="44"/>
      <c r="Y22" s="44"/>
      <c r="Z22" s="45"/>
    </row>
    <row r="23" spans="1:26" s="46" customFormat="1" ht="17.399999999999999" customHeight="1">
      <c r="A23" s="48">
        <v>4</v>
      </c>
      <c r="B23" s="49" t="s">
        <v>226</v>
      </c>
      <c r="C23" s="43"/>
      <c r="D23" s="44"/>
      <c r="E23" s="44"/>
      <c r="F23" s="44"/>
      <c r="G23" s="44"/>
      <c r="H23" s="45"/>
      <c r="I23" s="43"/>
      <c r="J23" s="44"/>
      <c r="K23" s="44"/>
      <c r="L23" s="44"/>
      <c r="M23" s="44"/>
      <c r="N23" s="45"/>
      <c r="O23" s="43"/>
      <c r="P23" s="44"/>
      <c r="Q23" s="44"/>
      <c r="R23" s="44"/>
      <c r="S23" s="44"/>
      <c r="T23" s="45"/>
      <c r="U23" s="43"/>
      <c r="V23" s="44"/>
      <c r="W23" s="44"/>
      <c r="X23" s="44"/>
      <c r="Y23" s="44"/>
      <c r="Z23" s="45"/>
    </row>
    <row r="24" spans="1:26" s="22" customFormat="1" ht="13.8" customHeight="1">
      <c r="A24" s="50"/>
      <c r="B24" s="14"/>
      <c r="C24" s="51"/>
      <c r="D24" s="12"/>
      <c r="E24" s="12"/>
      <c r="F24" s="12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s="54" customFormat="1" ht="15" customHeight="1">
      <c r="A25" s="52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53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s="22" customFormat="1" ht="13.8" customHeight="1">
      <c r="A26" s="50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51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s="22" customFormat="1" ht="13.8" customHeight="1">
      <c r="A27" s="50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51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22" customFormat="1" ht="13.8" customHeight="1">
      <c r="A28" s="50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51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</sheetData>
  <sheetProtection sheet="1" objects="1" scenarios="1"/>
  <mergeCells count="57">
    <mergeCell ref="A1:V5"/>
    <mergeCell ref="O18:T18"/>
    <mergeCell ref="A16:A20"/>
    <mergeCell ref="I14:N15"/>
    <mergeCell ref="L27:M27"/>
    <mergeCell ref="U17:Z17"/>
    <mergeCell ref="C20:H20"/>
    <mergeCell ref="A9:B9"/>
    <mergeCell ref="U14:Z15"/>
    <mergeCell ref="I16:N16"/>
    <mergeCell ref="U23:Z23"/>
    <mergeCell ref="U19:Z19"/>
    <mergeCell ref="L25:M25"/>
    <mergeCell ref="G7:J7"/>
    <mergeCell ref="C18:H18"/>
    <mergeCell ref="U22:Z22"/>
    <mergeCell ref="A6:Z6"/>
    <mergeCell ref="G12:J12"/>
    <mergeCell ref="I17:N17"/>
    <mergeCell ref="C17:H17"/>
    <mergeCell ref="O17:T17"/>
    <mergeCell ref="G11:J11"/>
    <mergeCell ref="A14:A15"/>
    <mergeCell ref="G8:J8"/>
    <mergeCell ref="B11:B13"/>
    <mergeCell ref="B14:B15"/>
    <mergeCell ref="G10:J10"/>
    <mergeCell ref="D10:F10"/>
    <mergeCell ref="A7:B7"/>
    <mergeCell ref="C14:H15"/>
    <mergeCell ref="O16:T16"/>
    <mergeCell ref="U21:Z21"/>
    <mergeCell ref="G9:J9"/>
    <mergeCell ref="O21:T21"/>
    <mergeCell ref="I20:N20"/>
    <mergeCell ref="C19:H19"/>
    <mergeCell ref="U20:Z20"/>
    <mergeCell ref="I19:N19"/>
    <mergeCell ref="S11:V12"/>
    <mergeCell ref="C16:H16"/>
    <mergeCell ref="U16:Z16"/>
    <mergeCell ref="O14:T15"/>
    <mergeCell ref="U18:Z18"/>
    <mergeCell ref="O19:T19"/>
    <mergeCell ref="C22:H22"/>
    <mergeCell ref="I22:N22"/>
    <mergeCell ref="I18:N18"/>
    <mergeCell ref="O22:T22"/>
    <mergeCell ref="L28:M28"/>
    <mergeCell ref="C21:H21"/>
    <mergeCell ref="C23:H23"/>
    <mergeCell ref="I23:N23"/>
    <mergeCell ref="C24:F24"/>
    <mergeCell ref="L26:M26"/>
    <mergeCell ref="O23:T23"/>
    <mergeCell ref="O20:T20"/>
    <mergeCell ref="I21:N21"/>
  </mergeCells>
  <pageMargins left="0.45" right="0.7" top="0.75" bottom="0.75" header="0.3" footer="0.3"/>
  <pageSetup scale="74" orientation="landscape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ใบงาน Agilent_JOB 10</vt:lpstr>
      <vt:lpstr>A2-QC ถุง</vt:lpstr>
      <vt:lpstr>P2-QC กล่อง</vt:lpstr>
      <vt:lpstr>'ใบงาน Agilent_JOB 10'!Print_Area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2026-08-03T02:28:30Z</cp:lastPrinted>
  <dcterms:created xsi:type="dcterms:W3CDTF">2022-12-02T03:16:26Z</dcterms:created>
  <dcterms:modified xsi:type="dcterms:W3CDTF">2026-09-02T04:33:19Z</dcterms:modified>
</cp:coreProperties>
</file>