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5A6ADEF4-E665-4AD5-9DE6-026F9F2FED17}" xr6:coauthVersionLast="47" xr6:coauthVersionMax="47" xr10:uidLastSave="{00000000-0000-0000-0000-000000000000}"/>
  <bookViews>
    <workbookView xWindow="-28920" yWindow="-120" windowWidth="29040" windowHeight="15720" tabRatio="958" xr2:uid="{4F180DBB-2D27-44A5-BB20-72766F3B0AE8}"/>
  </bookViews>
  <sheets>
    <sheet name="ใบงาน Agilent_JOB 10" sheetId="14" r:id="rId1"/>
    <sheet name="A2-QC ถุง" sheetId="15" r:id="rId2"/>
    <sheet name=" P2-QC กล่อง" sheetId="16" r:id="rId3"/>
  </sheets>
  <definedNames>
    <definedName name="_xlnm.Print_Area" localSheetId="0">'ใบงาน Agilent_JOB 10'!$A$1:$O$37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7" i="16" l="1"/>
  <c r="W7" i="15"/>
  <c r="G7" i="15"/>
  <c r="G7" i="16"/>
  <c r="B10" i="16"/>
  <c r="B9" i="15"/>
  <c r="W8" i="16"/>
  <c r="G8" i="16"/>
  <c r="B8" i="16"/>
  <c r="G8" i="15"/>
  <c r="B8" i="15"/>
  <c r="D22" i="14"/>
  <c r="D21" i="14"/>
  <c r="E17" i="14" l="1"/>
  <c r="G17" i="14" s="1"/>
  <c r="H17" i="14" s="1"/>
  <c r="F3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NGERNKONGKAEW, Siriprapha</author>
  </authors>
  <commentList>
    <comment ref="H47" authorId="0" shapeId="0" xr:uid="{4C272EA3-10FA-4C9C-8505-C8CB8781A367}">
      <text>
        <r>
          <rPr>
            <b/>
            <sz val="9"/>
            <color indexed="81"/>
            <rFont val="Tahoma"/>
            <family val="2"/>
          </rPr>
          <t>NGERNKONGKAEW, Siriprapha:</t>
        </r>
        <r>
          <rPr>
            <sz val="9"/>
            <color indexed="81"/>
            <rFont val="Tahoma"/>
            <family val="2"/>
          </rPr>
          <t xml:space="preserve">
Change from 6 to 1</t>
        </r>
      </text>
    </comment>
  </commentList>
</comments>
</file>

<file path=xl/sharedStrings.xml><?xml version="1.0" encoding="utf-8"?>
<sst xmlns="http://schemas.openxmlformats.org/spreadsheetml/2006/main" count="355" uniqueCount="228">
  <si>
    <t>ABW00007</t>
  </si>
  <si>
    <t>+5.00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</si>
  <si>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</si>
  <si>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</si>
  <si>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</si>
  <si>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</si>
  <si>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</si>
  <si>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</si>
  <si>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 xml:space="preserve">ถุงพลาสติค S </t>
  </si>
  <si>
    <t>4x 6 นิ้ว</t>
  </si>
  <si>
    <t>S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</si>
  <si>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</si>
  <si>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</si>
  <si>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</si>
  <si>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</si>
  <si>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</si>
  <si>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</si>
  <si>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</si>
  <si>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</si>
  <si>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</si>
  <si>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</si>
  <si>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</si>
  <si>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</si>
  <si>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</si>
  <si>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</si>
  <si>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</si>
  <si>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</si>
  <si>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</si>
  <si>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ขนาด 30 เซนติเมตร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</si>
  <si>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</si>
  <si>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</si>
  <si>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</si>
  <si>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</si>
  <si>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</si>
  <si>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</si>
  <si>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</si>
  <si>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>ความยาวสายยางที่สามารถยอมรับได้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</si>
  <si>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</si>
  <si>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</si>
  <si>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</si>
  <si>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</si>
  <si>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</si>
  <si>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1 เส้น</t>
  </si>
  <si>
    <t>1 กล่อง</t>
  </si>
  <si>
    <t>JOB 10</t>
  </si>
  <si>
    <t>K9801-60094</t>
  </si>
  <si>
    <t>Tubing, Pressure Pump</t>
  </si>
  <si>
    <t>P-96420-16-6</t>
  </si>
  <si>
    <t>ABW00007/K9801-60094</t>
  </si>
  <si>
    <t>ABW0007</t>
  </si>
  <si>
    <t>OD/ID: 1/4"(6.3500mm) 1/8"(3.1750mm)</t>
  </si>
  <si>
    <t>152.4-157.4</t>
  </si>
  <si>
    <t>จำนวนที่ตรวจสอบความยาวของสายยาง (MM)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</si>
  <si>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</si>
  <si>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</si>
  <si>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</si>
  <si>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</si>
  <si>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</si>
  <si>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</si>
  <si>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>ถุงพลาสติค packing</t>
  </si>
  <si>
    <t>1 อัน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</si>
  <si>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</si>
  <si>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</si>
  <si>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</si>
  <si>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</si>
  <si>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จำนวนสายยางที่ตัดได้(เส้น)</t>
  </si>
  <si>
    <t>การตรวจสอบคุณภาพก่อนบรรจุ  / QC in process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</si>
  <si>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</si>
  <si>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</si>
  <si>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</si>
  <si>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MPN</t>
  </si>
  <si>
    <t>Children no.</t>
  </si>
  <si>
    <t>Copy to sticker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</si>
  <si>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</si>
  <si>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</si>
  <si>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</si>
  <si>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</si>
  <si>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</si>
  <si>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</si>
  <si>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</si>
  <si>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</si>
  <si>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</si>
  <si>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</si>
  <si>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</si>
  <si>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</si>
  <si>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</si>
  <si>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</si>
  <si>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</si>
  <si>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</si>
  <si>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</si>
  <si>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</si>
  <si>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</si>
  <si>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</si>
  <si>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</si>
  <si>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</si>
  <si>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</si>
  <si>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</si>
  <si>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</si>
  <si>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</si>
  <si>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</si>
  <si>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</si>
  <si>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</si>
  <si>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</si>
  <si>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</si>
  <si>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</si>
  <si>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</si>
  <si>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</si>
  <si>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</si>
  <si>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</si>
  <si>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</si>
  <si>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</si>
  <si>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</si>
  <si>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</si>
  <si>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</si>
  <si>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</si>
  <si>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</si>
  <si>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</si>
  <si>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</si>
  <si>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</si>
  <si>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</si>
  <si>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</si>
  <si>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</si>
  <si>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</si>
  <si>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</si>
  <si>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</si>
  <si>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</si>
  <si>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</si>
  <si>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</si>
  <si>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</si>
  <si>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</si>
  <si>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</si>
  <si>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</si>
  <si>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</si>
  <si>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</si>
  <si>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</si>
  <si>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</si>
  <si>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</si>
  <si>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</si>
  <si>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</si>
  <si>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</si>
  <si>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</si>
  <si>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</si>
  <si>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</si>
  <si>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</si>
  <si>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</si>
  <si>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</si>
  <si>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</si>
  <si>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</si>
  <si>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</si>
  <si>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</si>
  <si>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</si>
  <si>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</si>
  <si>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</si>
  <si>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</si>
  <si>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</si>
  <si>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</si>
  <si>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</si>
  <si>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</si>
  <si>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</si>
  <si>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</si>
  <si>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</si>
  <si>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</si>
  <si>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</si>
  <si>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</si>
  <si>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</si>
  <si>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</si>
  <si>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</si>
  <si>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</si>
  <si>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</si>
  <si>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</si>
  <si>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</si>
  <si>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</si>
  <si>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</si>
  <si>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</si>
  <si>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</si>
  <si>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</si>
  <si>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</si>
  <si>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</si>
  <si>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</si>
  <si>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</si>
  <si>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</si>
  <si>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</si>
  <si>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</si>
  <si>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11(K9801-60095)</t>
  </si>
  <si>
    <t>job 11</t>
  </si>
  <si>
    <t>12(K9801-60084)</t>
  </si>
  <si>
    <t>job 12</t>
  </si>
  <si>
    <t>304.8 -309.8</t>
  </si>
  <si>
    <t>job 13.1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</si>
  <si>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</si>
  <si>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</si>
  <si>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</si>
  <si>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</si>
  <si>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</si>
  <si>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</si>
  <si>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</si>
  <si>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</si>
  <si>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</si>
  <si>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</si>
  <si>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</si>
  <si>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</si>
  <si>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</si>
  <si>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</si>
  <si>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</si>
  <si>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</si>
  <si>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</si>
  <si>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</si>
  <si>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</si>
  <si>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</si>
  <si>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</si>
  <si>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</si>
  <si>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</si>
  <si>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</si>
  <si>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</si>
  <si>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</si>
  <si>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</si>
  <si>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</si>
  <si>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</si>
  <si>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</si>
  <si>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</si>
  <si>
    <t>AGA</t>
  </si>
  <si>
    <t>MPN:</t>
  </si>
  <si>
    <t>Children PN:</t>
  </si>
  <si>
    <t>Customer PO</t>
  </si>
  <si>
    <t>-</t>
  </si>
  <si>
    <t>CUSTOMER PO</t>
  </si>
  <si>
    <t>PO12345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</si>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</sst>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164" fontId="9" fillId="2" borderId="1" xfId="3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vertical="center"/>
    </xf>
    <xf numFmtId="0" fontId="9" fillId="0" borderId="7" xfId="0" applyFont="1" applyBorder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7" fillId="0" borderId="0" xfId="0" applyFont="1"/>
    <xf numFmtId="0" fontId="19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0" xfId="0" applyFont="1"/>
    <xf numFmtId="0" fontId="19" fillId="0" borderId="14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0" xfId="0" applyFont="1"/>
    <xf numFmtId="0" fontId="0" fillId="0" borderId="0" xfId="0" applyAlignment="1">
      <alignment horizontal="center"/>
    </xf>
    <xf numFmtId="0" fontId="9" fillId="2" borderId="0" xfId="0" applyFont="1" applyFill="1"/>
    <xf numFmtId="0" fontId="12" fillId="6" borderId="7" xfId="0" applyFont="1" applyFill="1" applyBorder="1"/>
    <xf numFmtId="0" fontId="12" fillId="6" borderId="7" xfId="0" applyFont="1" applyFill="1" applyBorder="1" applyAlignment="1">
      <alignment horizontal="center"/>
    </xf>
    <xf numFmtId="0" fontId="9" fillId="6" borderId="7" xfId="0" applyFont="1" applyFill="1" applyBorder="1"/>
    <xf numFmtId="0" fontId="26" fillId="2" borderId="0" xfId="0" applyFont="1" applyFill="1"/>
    <xf numFmtId="0" fontId="9" fillId="6" borderId="0" xfId="0" applyFont="1" applyFill="1" applyAlignment="1">
      <alignment horizontal="center"/>
    </xf>
    <xf numFmtId="0" fontId="23" fillId="2" borderId="0" xfId="0" applyFont="1" applyFill="1" applyAlignment="1">
      <alignment horizontal="left" vertical="center"/>
    </xf>
    <xf numFmtId="0" fontId="9" fillId="6" borderId="0" xfId="0" applyFont="1" applyFill="1"/>
    <xf numFmtId="165" fontId="9" fillId="6" borderId="0" xfId="3" applyNumberFormat="1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13" xfId="0" applyFont="1" applyBorder="1" applyAlignment="1">
      <alignment horizontal="center" vertical="center" wrapText="1"/>
    </xf>
    <xf numFmtId="0" fontId="26" fillId="0" borderId="0" xfId="0" applyFont="1"/>
    <xf numFmtId="165" fontId="9" fillId="0" borderId="0" xfId="3" applyNumberFormat="1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 wrapText="1"/>
    </xf>
    <xf numFmtId="0" fontId="27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right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0" fillId="5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3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top"/>
    </xf>
    <xf numFmtId="0" fontId="10" fillId="2" borderId="8" xfId="0" applyFont="1" applyFill="1" applyBorder="1" applyAlignment="1">
      <alignment horizontal="center" vertical="top"/>
    </xf>
    <xf numFmtId="0" fontId="23" fillId="2" borderId="2" xfId="0" applyFont="1" applyFill="1" applyBorder="1" applyAlignment="1">
      <alignment horizontal="center" vertical="top" wrapText="1"/>
    </xf>
    <xf numFmtId="0" fontId="23" fillId="2" borderId="6" xfId="0" applyFont="1" applyFill="1" applyBorder="1" applyAlignment="1">
      <alignment horizontal="center" vertical="top" wrapText="1"/>
    </xf>
    <xf numFmtId="0" fontId="9" fillId="2" borderId="13" xfId="0" quotePrefix="1" applyFont="1" applyFill="1" applyBorder="1" applyAlignment="1">
      <alignment horizontal="center"/>
    </xf>
    <xf numFmtId="0" fontId="9" fillId="2" borderId="12" xfId="0" quotePrefix="1" applyFont="1" applyFill="1" applyBorder="1" applyAlignment="1">
      <alignment horizontal="center"/>
    </xf>
    <xf numFmtId="0" fontId="9" fillId="2" borderId="14" xfId="0" quotePrefix="1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4" fontId="12" fillId="6" borderId="7" xfId="0" applyNumberFormat="1" applyFont="1" applyFill="1" applyBorder="1"/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1D6C6-CFEA-476E-963C-F76E99F6F93E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1287145</xdr:colOff>
      <xdr:row>4</xdr:row>
      <xdr:rowOff>26669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B21313-A13C-4773-BC6B-00B9AF0B6E7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A5E52-625E-492C-8C71-4C4B6A62A1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E0D092-C349-48F3-B3AA-4E121891D4E3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204788</xdr:colOff>
      <xdr:row>1</xdr:row>
      <xdr:rowOff>0</xdr:rowOff>
    </xdr:from>
    <xdr:to>
      <xdr:col>1</xdr:col>
      <xdr:colOff>845344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187E0-A7F0-4908-9E3C-793DD1A2AF8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3" y="190500"/>
          <a:ext cx="640556" cy="714375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C0D4C5-6BED-4DDD-AB38-2076752C90A6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3A1-D908-4C67-AD09-789A99645E5D}">
  <dimension ref="A1:O209"/>
  <sheetViews>
    <sheetView tabSelected="1" workbookViewId="0">
      <selection activeCell="B7" sqref="B7"/>
    </sheetView>
  </sheetViews>
  <sheetFormatPr defaultColWidth="8.77734375" defaultRowHeight="11.4"/>
  <cols>
    <col min="1" max="1" width="8.77734375" style="2"/>
    <col min="2" max="2" width="21.21875" style="1" customWidth="1"/>
    <col min="3" max="3" width="26.77734375" style="1" customWidth="1"/>
    <col min="4" max="4" width="12.77734375" style="2" customWidth="1"/>
    <col min="5" max="5" width="14.88671875" style="2" hidden="1" customWidth="1"/>
    <col min="6" max="6" width="12.77734375" style="2" customWidth="1"/>
    <col min="7" max="7" width="14.77734375" style="1" customWidth="1"/>
    <col min="8" max="8" width="11.77734375" style="1" customWidth="1"/>
    <col min="9" max="9" width="12.77734375" style="1" customWidth="1"/>
    <col min="10" max="10" width="12.77734375" style="2" customWidth="1"/>
    <col min="11" max="11" width="14.77734375" style="2" customWidth="1"/>
    <col min="12" max="13" width="8.77734375" style="1" customWidth="1"/>
    <col min="14" max="15" width="13.77734375" style="2" customWidth="1"/>
    <col min="16" max="16384" width="8.77734375" style="1"/>
  </cols>
  <sheetData>
    <row r="1" spans="1:15" ht="23.25" customHeight="1">
      <c r="A1" s="77" t="s">
        <v>55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5" ht="11.7" customHeigh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5" ht="11.7" customHeight="1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1:15" ht="11.7" customHeight="1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</row>
    <row r="5" spans="1:15" ht="11.7" customHeight="1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</row>
    <row r="6" spans="1:15" ht="22.8">
      <c r="A6" s="4" t="s">
        <v>37</v>
      </c>
      <c r="N6" s="5"/>
      <c r="O6" s="5" t="s">
        <v>44</v>
      </c>
    </row>
    <row r="7" spans="1:15" s="7" customFormat="1" ht="21" customHeight="1">
      <c r="A7" s="8" t="s">
        <v>4</v>
      </c>
      <c r="B7" s="192">
        <v>46242</v>
      </c>
      <c r="C7" s="35"/>
      <c r="D7" s="8" t="s">
        <v>56</v>
      </c>
      <c r="E7" s="8"/>
      <c r="F7" s="63" t="s">
        <v>227</v>
      </c>
      <c r="G7" s="63"/>
      <c r="J7" s="8"/>
      <c r="K7" s="7" t="s">
        <v>57</v>
      </c>
      <c r="L7" s="35" t="s">
        <v>220</v>
      </c>
      <c r="M7" s="64" t="s">
        <v>227</v>
      </c>
      <c r="N7" s="62"/>
      <c r="O7" s="8"/>
    </row>
    <row r="8" spans="1:15" s="7" customFormat="1" ht="21" customHeight="1">
      <c r="A8" s="8" t="s">
        <v>6</v>
      </c>
      <c r="B8" s="7" t="s">
        <v>39</v>
      </c>
      <c r="D8" s="8" t="s">
        <v>221</v>
      </c>
      <c r="E8" s="8"/>
      <c r="F8" s="67" t="s">
        <v>45</v>
      </c>
      <c r="J8" s="8"/>
      <c r="K8" s="7" t="s">
        <v>13</v>
      </c>
      <c r="M8" s="68"/>
      <c r="N8" s="69">
        <v>2000</v>
      </c>
      <c r="O8" s="8"/>
    </row>
    <row r="9" spans="1:15" s="7" customFormat="1" ht="21" customHeight="1">
      <c r="A9" s="8" t="s">
        <v>5</v>
      </c>
      <c r="B9" s="7" t="s">
        <v>38</v>
      </c>
      <c r="D9" s="7" t="s">
        <v>222</v>
      </c>
      <c r="E9" s="8"/>
      <c r="F9" s="65" t="s">
        <v>224</v>
      </c>
      <c r="J9" s="8"/>
      <c r="K9" s="8" t="s">
        <v>223</v>
      </c>
      <c r="M9" s="66"/>
      <c r="N9" s="66" t="s">
        <v>226</v>
      </c>
      <c r="O9" s="8"/>
    </row>
    <row r="10" spans="1:15" s="17" customFormat="1" ht="21" customHeight="1">
      <c r="A10" s="18"/>
      <c r="D10" s="18"/>
      <c r="E10" s="18"/>
      <c r="F10" s="18"/>
      <c r="J10" s="18"/>
      <c r="K10" s="18"/>
      <c r="N10" s="18"/>
      <c r="O10" s="18"/>
    </row>
    <row r="11" spans="1:15" s="17" customFormat="1" ht="21" customHeight="1">
      <c r="A11" s="18"/>
      <c r="B11" s="36" t="s">
        <v>49</v>
      </c>
      <c r="C11" s="36" t="s">
        <v>50</v>
      </c>
      <c r="D11" s="37"/>
      <c r="E11" s="18"/>
      <c r="F11" s="18"/>
      <c r="J11" s="18"/>
      <c r="K11" s="8"/>
    </row>
    <row r="12" spans="1:15" s="17" customFormat="1" ht="21" customHeight="1">
      <c r="A12" s="18"/>
      <c r="D12" s="18"/>
      <c r="E12" s="18"/>
      <c r="F12" s="18"/>
      <c r="J12" s="18"/>
      <c r="K12" s="8"/>
      <c r="L12" s="18"/>
      <c r="M12" s="18"/>
      <c r="N12" s="18"/>
      <c r="O12" s="18"/>
    </row>
    <row r="13" spans="1:15" s="17" customFormat="1" ht="21" customHeight="1">
      <c r="A13" s="19" t="s">
        <v>31</v>
      </c>
      <c r="D13" s="18"/>
      <c r="E13" s="18"/>
      <c r="F13" s="18"/>
      <c r="J13" s="18"/>
      <c r="K13" s="8"/>
      <c r="L13" s="7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8"/>
      <c r="L14" s="7"/>
      <c r="N14" s="18"/>
      <c r="O14" s="18"/>
    </row>
    <row r="15" spans="1:15" s="72" customFormat="1" ht="21" customHeight="1">
      <c r="A15" s="98" t="s">
        <v>17</v>
      </c>
      <c r="B15" s="100" t="s">
        <v>16</v>
      </c>
      <c r="C15" s="98" t="s">
        <v>15</v>
      </c>
      <c r="D15" s="98" t="s">
        <v>14</v>
      </c>
      <c r="E15" s="102" t="s">
        <v>34</v>
      </c>
      <c r="F15" s="104" t="s">
        <v>35</v>
      </c>
      <c r="G15" s="93" t="s">
        <v>34</v>
      </c>
      <c r="H15" s="95" t="s">
        <v>33</v>
      </c>
      <c r="J15" s="73"/>
      <c r="K15" s="97"/>
    </row>
    <row r="16" spans="1:15" s="72" customFormat="1" ht="21" customHeight="1">
      <c r="A16" s="98"/>
      <c r="B16" s="101"/>
      <c r="C16" s="98"/>
      <c r="D16" s="98"/>
      <c r="E16" s="103"/>
      <c r="F16" s="105"/>
      <c r="G16" s="94"/>
      <c r="H16" s="96"/>
      <c r="J16" s="73"/>
      <c r="K16" s="97"/>
    </row>
    <row r="17" spans="1:15" s="17" customFormat="1" ht="21" customHeight="1">
      <c r="A17" s="33">
        <v>1</v>
      </c>
      <c r="B17" s="38" t="s">
        <v>7</v>
      </c>
      <c r="C17" s="39" t="s">
        <v>0</v>
      </c>
      <c r="D17" s="40">
        <v>1</v>
      </c>
      <c r="E17" s="21">
        <f>D17*N8*(I44+J44)</f>
        <v>314800</v>
      </c>
      <c r="F17" s="10">
        <v>50</v>
      </c>
      <c r="G17" s="34">
        <f>E17</f>
        <v>314800</v>
      </c>
      <c r="H17" s="34">
        <f>G17*0.00328/F17</f>
        <v>20.650879999999997</v>
      </c>
      <c r="K17" s="107" t="s">
        <v>72</v>
      </c>
      <c r="L17" s="7"/>
    </row>
    <row r="18" spans="1:15" s="17" customFormat="1" ht="21" customHeight="1">
      <c r="A18" s="12">
        <v>2</v>
      </c>
      <c r="B18" s="22" t="s">
        <v>32</v>
      </c>
      <c r="C18" s="22"/>
      <c r="D18" s="12"/>
      <c r="E18" s="12"/>
      <c r="F18" s="12"/>
      <c r="G18" s="22"/>
      <c r="H18" s="22"/>
      <c r="J18" s="18"/>
      <c r="K18" s="107"/>
      <c r="L18" s="7"/>
      <c r="N18" s="18"/>
      <c r="O18" s="18"/>
    </row>
    <row r="19" spans="1:15" s="17" customFormat="1" ht="21" customHeight="1">
      <c r="A19" s="12">
        <v>3</v>
      </c>
      <c r="B19" s="22" t="s">
        <v>41</v>
      </c>
      <c r="C19" s="22"/>
      <c r="D19" s="12" t="s">
        <v>43</v>
      </c>
      <c r="E19" s="12"/>
      <c r="F19" s="12"/>
      <c r="G19" s="22"/>
      <c r="H19" s="22"/>
      <c r="J19" s="18"/>
      <c r="K19" s="6"/>
      <c r="L19" s="7"/>
      <c r="N19" s="18"/>
      <c r="O19" s="18"/>
    </row>
    <row r="20" spans="1:15" s="17" customFormat="1" ht="21" customHeight="1">
      <c r="A20" s="12">
        <v>4</v>
      </c>
      <c r="B20" s="22" t="s">
        <v>53</v>
      </c>
      <c r="C20" s="22"/>
      <c r="D20" s="12" t="s">
        <v>54</v>
      </c>
      <c r="E20" s="12"/>
      <c r="F20" s="12"/>
      <c r="G20" s="22"/>
      <c r="H20" s="22"/>
      <c r="J20" s="18"/>
      <c r="K20" s="6"/>
      <c r="L20" s="7"/>
      <c r="N20" s="18"/>
      <c r="O20" s="18"/>
    </row>
    <row r="21" spans="1:15" s="17" customFormat="1" ht="21" customHeight="1">
      <c r="A21" s="12">
        <v>5</v>
      </c>
      <c r="B21" s="39" t="s">
        <v>8</v>
      </c>
      <c r="C21" s="40" t="s">
        <v>9</v>
      </c>
      <c r="D21" s="12">
        <f>N8</f>
        <v>2000</v>
      </c>
      <c r="E21" s="12"/>
      <c r="F21" s="12"/>
      <c r="G21" s="22"/>
      <c r="H21" s="22"/>
      <c r="J21" s="18"/>
      <c r="K21" s="6"/>
      <c r="L21" s="7"/>
      <c r="N21" s="18"/>
      <c r="O21" s="18"/>
    </row>
    <row r="22" spans="1:15" s="17" customFormat="1" ht="21" customHeight="1">
      <c r="A22" s="12">
        <v>6</v>
      </c>
      <c r="B22" s="22" t="s">
        <v>11</v>
      </c>
      <c r="C22" s="12" t="s">
        <v>12</v>
      </c>
      <c r="D22" s="12">
        <f>N8</f>
        <v>2000</v>
      </c>
      <c r="E22" s="12"/>
      <c r="F22" s="12"/>
      <c r="G22" s="22"/>
      <c r="H22" s="22"/>
      <c r="J22" s="18"/>
      <c r="K22" s="6"/>
      <c r="L22" s="7"/>
      <c r="N22" s="18"/>
      <c r="O22" s="18"/>
    </row>
    <row r="23" spans="1:15" s="17" customFormat="1" ht="21" customHeight="1">
      <c r="A23" s="12">
        <v>7</v>
      </c>
      <c r="B23" s="22" t="s">
        <v>27</v>
      </c>
      <c r="C23" s="12" t="s">
        <v>28</v>
      </c>
      <c r="D23" s="12" t="s">
        <v>60</v>
      </c>
      <c r="E23" s="12"/>
      <c r="F23" s="12"/>
      <c r="G23" s="22"/>
      <c r="H23" s="22"/>
      <c r="J23" s="18"/>
      <c r="K23" s="6"/>
      <c r="L23" s="7"/>
      <c r="N23" s="18"/>
      <c r="O23" s="18"/>
    </row>
    <row r="24" spans="1:15" s="17" customFormat="1" ht="21" customHeight="1">
      <c r="A24" s="12">
        <v>8</v>
      </c>
      <c r="B24" s="22" t="s">
        <v>59</v>
      </c>
      <c r="C24" s="22"/>
      <c r="D24" s="12"/>
      <c r="E24" s="12"/>
      <c r="F24" s="12"/>
      <c r="G24" s="22"/>
      <c r="H24" s="22"/>
      <c r="J24" s="18"/>
      <c r="K24" s="6"/>
      <c r="L24" s="41"/>
      <c r="M24" s="42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66</v>
      </c>
      <c r="D26" s="18"/>
      <c r="E26" s="18"/>
      <c r="F26" s="18"/>
      <c r="J26" s="18"/>
      <c r="K26" s="18"/>
      <c r="N26" s="18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72" customFormat="1" ht="21" customHeight="1">
      <c r="A28" s="98" t="s">
        <v>17</v>
      </c>
      <c r="B28" s="98" t="s">
        <v>16</v>
      </c>
      <c r="C28" s="98" t="s">
        <v>15</v>
      </c>
      <c r="D28" s="98" t="s">
        <v>14</v>
      </c>
      <c r="E28" s="70"/>
      <c r="F28" s="99" t="s">
        <v>65</v>
      </c>
      <c r="G28" s="93" t="s">
        <v>61</v>
      </c>
      <c r="H28" s="93"/>
      <c r="I28" s="93"/>
      <c r="J28" s="106"/>
      <c r="K28" s="93" t="s">
        <v>52</v>
      </c>
      <c r="L28" s="93"/>
      <c r="M28" s="93"/>
      <c r="N28" s="93" t="s">
        <v>58</v>
      </c>
      <c r="O28" s="75"/>
    </row>
    <row r="29" spans="1:15" s="72" customFormat="1" ht="21" customHeight="1">
      <c r="A29" s="98"/>
      <c r="B29" s="98"/>
      <c r="C29" s="98"/>
      <c r="D29" s="98"/>
      <c r="E29" s="70"/>
      <c r="F29" s="99"/>
      <c r="G29" s="71" t="s">
        <v>62</v>
      </c>
      <c r="H29" s="71" t="s">
        <v>63</v>
      </c>
      <c r="I29" s="71" t="s">
        <v>64</v>
      </c>
      <c r="J29" s="74" t="s">
        <v>58</v>
      </c>
      <c r="K29" s="70" t="s">
        <v>26</v>
      </c>
      <c r="L29" s="71" t="s">
        <v>23</v>
      </c>
      <c r="M29" s="71" t="s">
        <v>24</v>
      </c>
      <c r="N29" s="93"/>
      <c r="O29" s="75"/>
    </row>
    <row r="30" spans="1:15" s="17" customFormat="1" ht="21" customHeight="1">
      <c r="A30" s="90">
        <v>10</v>
      </c>
      <c r="B30" s="109" t="s">
        <v>46</v>
      </c>
      <c r="C30" s="112" t="s">
        <v>48</v>
      </c>
      <c r="D30" s="115">
        <v>1</v>
      </c>
      <c r="E30" s="10"/>
      <c r="F30" s="118">
        <f>N8*D30</f>
        <v>2000</v>
      </c>
      <c r="G30" s="43"/>
      <c r="H30" s="43"/>
      <c r="I30" s="43"/>
      <c r="J30" s="44"/>
      <c r="K30" s="108" t="s">
        <v>51</v>
      </c>
      <c r="L30" s="10"/>
      <c r="M30" s="22"/>
      <c r="N30" s="22"/>
      <c r="O30" s="7"/>
    </row>
    <row r="31" spans="1:15" s="17" customFormat="1" ht="21" customHeight="1">
      <c r="A31" s="91"/>
      <c r="B31" s="110"/>
      <c r="C31" s="113"/>
      <c r="D31" s="116"/>
      <c r="E31" s="22"/>
      <c r="F31" s="119"/>
      <c r="G31" s="43"/>
      <c r="H31" s="43"/>
      <c r="I31" s="43"/>
      <c r="J31" s="44"/>
      <c r="K31" s="108"/>
      <c r="L31" s="12"/>
      <c r="M31" s="22"/>
      <c r="N31" s="22"/>
      <c r="O31" s="7"/>
    </row>
    <row r="32" spans="1:15" s="17" customFormat="1" ht="21" customHeight="1">
      <c r="A32" s="91"/>
      <c r="B32" s="110"/>
      <c r="C32" s="113"/>
      <c r="D32" s="116"/>
      <c r="E32" s="22"/>
      <c r="F32" s="119"/>
      <c r="G32" s="43"/>
      <c r="H32" s="43"/>
      <c r="I32" s="43"/>
      <c r="J32" s="44"/>
      <c r="K32" s="108"/>
      <c r="L32" s="22"/>
      <c r="M32" s="22"/>
      <c r="N32" s="22"/>
      <c r="O32" s="7"/>
    </row>
    <row r="33" spans="1:15" s="17" customFormat="1" ht="21" customHeight="1">
      <c r="A33" s="91"/>
      <c r="B33" s="110"/>
      <c r="C33" s="113"/>
      <c r="D33" s="116"/>
      <c r="E33" s="22"/>
      <c r="F33" s="119"/>
      <c r="G33" s="43"/>
      <c r="H33" s="43"/>
      <c r="I33" s="43"/>
      <c r="J33" s="44"/>
      <c r="K33" s="108"/>
      <c r="L33" s="22"/>
      <c r="M33" s="22"/>
      <c r="N33" s="22"/>
      <c r="O33" s="7"/>
    </row>
    <row r="34" spans="1:15" s="17" customFormat="1" ht="21" customHeight="1">
      <c r="A34" s="91"/>
      <c r="B34" s="110"/>
      <c r="C34" s="113"/>
      <c r="D34" s="116"/>
      <c r="E34" s="22"/>
      <c r="F34" s="119"/>
      <c r="G34" s="43"/>
      <c r="H34" s="43"/>
      <c r="I34" s="43"/>
      <c r="J34" s="44"/>
      <c r="K34" s="108"/>
      <c r="L34" s="22"/>
      <c r="M34" s="22"/>
      <c r="N34" s="22"/>
      <c r="O34" s="7"/>
    </row>
    <row r="35" spans="1:15" s="17" customFormat="1" ht="21" customHeight="1">
      <c r="A35" s="91"/>
      <c r="B35" s="110"/>
      <c r="C35" s="113"/>
      <c r="D35" s="116"/>
      <c r="E35" s="22"/>
      <c r="F35" s="119"/>
      <c r="G35" s="43"/>
      <c r="H35" s="43"/>
      <c r="I35" s="43"/>
      <c r="J35" s="44"/>
      <c r="K35" s="108"/>
      <c r="L35" s="22"/>
      <c r="M35" s="22"/>
      <c r="N35" s="22"/>
      <c r="O35" s="7"/>
    </row>
    <row r="36" spans="1:15" s="17" customFormat="1" ht="21" customHeight="1">
      <c r="A36" s="91"/>
      <c r="B36" s="110"/>
      <c r="C36" s="113"/>
      <c r="D36" s="116"/>
      <c r="E36" s="12"/>
      <c r="F36" s="119"/>
      <c r="G36" s="43"/>
      <c r="H36" s="43"/>
      <c r="I36" s="43"/>
      <c r="J36" s="44"/>
      <c r="K36" s="108"/>
      <c r="L36" s="22"/>
      <c r="M36" s="22"/>
      <c r="N36" s="22"/>
      <c r="O36" s="7"/>
    </row>
    <row r="37" spans="1:15" s="17" customFormat="1" ht="21" customHeight="1">
      <c r="A37" s="92"/>
      <c r="B37" s="111"/>
      <c r="C37" s="114"/>
      <c r="D37" s="117"/>
      <c r="E37" s="12"/>
      <c r="F37" s="120"/>
      <c r="G37" s="43"/>
      <c r="H37" s="43"/>
      <c r="I37" s="43"/>
      <c r="J37" s="44"/>
      <c r="K37" s="108"/>
      <c r="L37" s="22"/>
      <c r="M37" s="22"/>
      <c r="N37" s="22"/>
      <c r="O37" s="7"/>
    </row>
    <row r="38" spans="1:15" s="17" customFormat="1" ht="21" customHeight="1">
      <c r="A38" s="18"/>
      <c r="C38" s="18"/>
      <c r="D38" s="18"/>
      <c r="E38" s="18"/>
      <c r="F38" s="27"/>
      <c r="I38" s="18"/>
      <c r="J38" s="18"/>
      <c r="M38" s="18"/>
      <c r="N38" s="18"/>
    </row>
    <row r="39" spans="1:15" s="17" customFormat="1" ht="21" hidden="1" customHeight="1">
      <c r="A39" s="19" t="s">
        <v>29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79" t="s">
        <v>17</v>
      </c>
      <c r="B41" s="79" t="s">
        <v>18</v>
      </c>
      <c r="C41" s="79" t="s">
        <v>19</v>
      </c>
      <c r="D41" s="82" t="s">
        <v>19</v>
      </c>
      <c r="E41" s="28"/>
      <c r="F41" s="79" t="s">
        <v>20</v>
      </c>
      <c r="G41" s="79" t="s">
        <v>15</v>
      </c>
      <c r="H41" s="85" t="s">
        <v>30</v>
      </c>
      <c r="I41" s="85" t="s">
        <v>25</v>
      </c>
      <c r="J41" s="85" t="s">
        <v>2</v>
      </c>
      <c r="K41" s="85" t="s">
        <v>36</v>
      </c>
      <c r="L41" s="82" t="s">
        <v>21</v>
      </c>
      <c r="M41" s="88"/>
      <c r="N41" s="78" t="s">
        <v>22</v>
      </c>
      <c r="O41" s="78"/>
    </row>
    <row r="42" spans="1:15" s="16" customFormat="1" ht="21" hidden="1" customHeight="1">
      <c r="A42" s="80"/>
      <c r="B42" s="80"/>
      <c r="C42" s="80"/>
      <c r="D42" s="83"/>
      <c r="F42" s="80"/>
      <c r="G42" s="80"/>
      <c r="H42" s="86"/>
      <c r="I42" s="86"/>
      <c r="J42" s="86"/>
      <c r="K42" s="86"/>
      <c r="L42" s="84"/>
      <c r="M42" s="89"/>
      <c r="N42" s="78"/>
      <c r="O42" s="78"/>
    </row>
    <row r="43" spans="1:15" s="16" customFormat="1" ht="21" hidden="1" customHeight="1">
      <c r="A43" s="81"/>
      <c r="B43" s="81"/>
      <c r="C43" s="81"/>
      <c r="D43" s="84"/>
      <c r="F43" s="81"/>
      <c r="G43" s="81"/>
      <c r="H43" s="87"/>
      <c r="I43" s="87"/>
      <c r="J43" s="87"/>
      <c r="K43" s="84"/>
      <c r="L43" s="9" t="s">
        <v>23</v>
      </c>
      <c r="M43" s="13" t="s">
        <v>24</v>
      </c>
      <c r="N43" s="9" t="s">
        <v>23</v>
      </c>
      <c r="O43" s="13" t="s">
        <v>24</v>
      </c>
    </row>
    <row r="44" spans="1:15" s="31" customFormat="1" ht="21" hidden="1" customHeight="1">
      <c r="A44" s="29">
        <v>1</v>
      </c>
      <c r="B44" s="14" t="s">
        <v>45</v>
      </c>
      <c r="C44" s="14" t="s">
        <v>46</v>
      </c>
      <c r="D44" s="20" t="s">
        <v>45</v>
      </c>
      <c r="E44" s="20" t="s">
        <v>47</v>
      </c>
      <c r="F44" s="25" t="s">
        <v>10</v>
      </c>
      <c r="G44" s="24" t="s">
        <v>0</v>
      </c>
      <c r="H44" s="25" t="s">
        <v>42</v>
      </c>
      <c r="I44" s="20">
        <v>152.4</v>
      </c>
      <c r="J44" s="30" t="s">
        <v>1</v>
      </c>
      <c r="K44" s="25" t="s">
        <v>51</v>
      </c>
      <c r="L44" s="20"/>
      <c r="M44" s="20"/>
      <c r="N44" s="20"/>
      <c r="O44" s="20"/>
    </row>
    <row r="45" spans="1:15" s="17" customFormat="1" ht="21" hidden="1" customHeight="1">
      <c r="A45" s="18"/>
      <c r="D45" s="18"/>
      <c r="E45" s="18"/>
      <c r="F45" s="18"/>
      <c r="H45" s="18"/>
      <c r="J45" s="18"/>
      <c r="K45" s="18"/>
      <c r="N45" s="18"/>
      <c r="O45" s="18"/>
    </row>
    <row r="46" spans="1:15" s="17" customFormat="1" ht="21" hidden="1" customHeight="1">
      <c r="A46" s="18"/>
      <c r="D46" s="18"/>
      <c r="E46" s="18"/>
      <c r="F46" s="18"/>
      <c r="I46" s="17" t="s">
        <v>3</v>
      </c>
      <c r="J46" s="18"/>
      <c r="K46" s="17" t="s">
        <v>40</v>
      </c>
      <c r="M46" s="23"/>
      <c r="N46" s="26"/>
      <c r="O46" s="26"/>
    </row>
    <row r="47" spans="1:15" s="31" customFormat="1" ht="21" customHeight="1">
      <c r="A47" s="19"/>
      <c r="B47" s="15"/>
      <c r="D47" s="11"/>
      <c r="E47" s="11"/>
      <c r="F47" s="11"/>
      <c r="H47" s="32"/>
      <c r="J47" s="11"/>
      <c r="K47" s="11"/>
      <c r="N47" s="11"/>
      <c r="O47" s="11"/>
    </row>
    <row r="48" spans="1:15" s="31" customFormat="1" ht="21" customHeight="1">
      <c r="A48" s="11"/>
      <c r="B48" s="15"/>
      <c r="D48" s="11"/>
      <c r="E48" s="11"/>
      <c r="F48" s="11"/>
      <c r="J48" s="11"/>
      <c r="K48" s="11"/>
      <c r="N48" s="11"/>
      <c r="O48" s="11"/>
    </row>
    <row r="49" spans="1:15" s="31" customFormat="1" ht="21" customHeight="1">
      <c r="A49" s="11"/>
      <c r="K49" s="11"/>
      <c r="N49" s="11"/>
      <c r="O49" s="11"/>
    </row>
    <row r="50" spans="1:15" s="31" customFormat="1" ht="21" customHeight="1">
      <c r="A50" s="11"/>
      <c r="B50" s="15"/>
      <c r="K50" s="11"/>
      <c r="N50" s="11"/>
      <c r="O50" s="11"/>
    </row>
    <row r="51" spans="1:15" s="31" customFormat="1" ht="21" customHeight="1">
      <c r="A51" s="11"/>
      <c r="D51" s="11"/>
      <c r="E51" s="11"/>
      <c r="F51" s="11"/>
      <c r="J51" s="11"/>
      <c r="K51" s="11"/>
      <c r="N51" s="11"/>
      <c r="O51" s="11"/>
    </row>
    <row r="52" spans="1:15" s="31" customFormat="1" ht="21" customHeight="1">
      <c r="A52" s="11"/>
      <c r="D52" s="11"/>
      <c r="E52" s="11"/>
      <c r="F52" s="11"/>
      <c r="J52" s="11"/>
      <c r="K52" s="11"/>
      <c r="N52" s="11"/>
      <c r="O52" s="11"/>
    </row>
    <row r="53" spans="1:15" s="31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31" customFormat="1" ht="21" customHeight="1">
      <c r="A54" s="11"/>
      <c r="D54" s="11"/>
      <c r="E54" s="11"/>
      <c r="F54" s="11"/>
      <c r="J54" s="11"/>
      <c r="K54" s="11"/>
      <c r="N54" s="11"/>
      <c r="O54" s="11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7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7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7" customFormat="1" ht="21" customHeight="1">
      <c r="A61" s="18"/>
      <c r="D61" s="18"/>
      <c r="E61" s="18"/>
      <c r="F61" s="18"/>
      <c r="J61" s="18"/>
      <c r="K61" s="18"/>
      <c r="N61" s="18"/>
      <c r="O61" s="18"/>
    </row>
    <row r="62" spans="1:15" s="17" customFormat="1" ht="21" customHeight="1">
      <c r="A62" s="18"/>
      <c r="D62" s="18"/>
      <c r="E62" s="18"/>
      <c r="F62" s="18"/>
      <c r="J62" s="18"/>
      <c r="K62" s="18"/>
      <c r="N62" s="18"/>
      <c r="O62" s="18"/>
    </row>
    <row r="63" spans="1:15" s="17" customFormat="1" ht="21" customHeight="1">
      <c r="A63" s="18"/>
      <c r="D63" s="18"/>
      <c r="E63" s="18"/>
      <c r="F63" s="18"/>
      <c r="J63" s="18"/>
      <c r="K63" s="18"/>
      <c r="N63" s="18"/>
      <c r="O63" s="18"/>
    </row>
    <row r="64" spans="1:15" s="17" customFormat="1" ht="21" customHeight="1">
      <c r="A64" s="18"/>
      <c r="D64" s="18"/>
      <c r="E64" s="18"/>
      <c r="F64" s="18"/>
      <c r="J64" s="18"/>
      <c r="K64" s="18"/>
      <c r="N64" s="18"/>
      <c r="O64" s="18"/>
    </row>
    <row r="65" spans="1:15" s="17" customFormat="1" ht="21" customHeight="1">
      <c r="A65" s="18"/>
      <c r="D65" s="18"/>
      <c r="E65" s="18"/>
      <c r="F65" s="18"/>
      <c r="J65" s="18"/>
      <c r="K65" s="18"/>
      <c r="N65" s="18"/>
      <c r="O65" s="18"/>
    </row>
    <row r="66" spans="1:15" s="17" customFormat="1" ht="21" customHeight="1">
      <c r="A66" s="18"/>
      <c r="D66" s="18"/>
      <c r="E66" s="18"/>
      <c r="F66" s="18"/>
      <c r="J66" s="18"/>
      <c r="K66" s="18"/>
      <c r="N66" s="18"/>
      <c r="O66" s="18"/>
    </row>
    <row r="67" spans="1:15" s="17" customFormat="1" ht="21" customHeight="1">
      <c r="A67" s="18"/>
      <c r="D67" s="18"/>
      <c r="E67" s="18"/>
      <c r="F67" s="18"/>
      <c r="J67" s="18"/>
      <c r="K67" s="18"/>
      <c r="N67" s="18"/>
      <c r="O67" s="18"/>
    </row>
    <row r="68" spans="1:15" s="17" customFormat="1" ht="21" customHeight="1">
      <c r="A68" s="18"/>
      <c r="D68" s="18"/>
      <c r="E68" s="18"/>
      <c r="F68" s="18"/>
      <c r="J68" s="18"/>
      <c r="K68" s="18"/>
      <c r="N68" s="18"/>
      <c r="O68" s="18"/>
    </row>
    <row r="69" spans="1:15" s="17" customFormat="1" ht="21" customHeight="1">
      <c r="A69" s="18"/>
      <c r="D69" s="18"/>
      <c r="E69" s="18"/>
      <c r="F69" s="18"/>
      <c r="J69" s="18"/>
      <c r="K69" s="18"/>
      <c r="N69" s="18"/>
      <c r="O69" s="18"/>
    </row>
    <row r="70" spans="1:15" s="17" customFormat="1" ht="21" customHeight="1">
      <c r="A70" s="18"/>
      <c r="D70" s="18"/>
      <c r="E70" s="18"/>
      <c r="F70" s="18"/>
      <c r="J70" s="18"/>
      <c r="K70" s="18"/>
      <c r="N70" s="18"/>
      <c r="O70" s="18"/>
    </row>
    <row r="71" spans="1:15" s="17" customFormat="1" ht="21" customHeight="1">
      <c r="A71" s="18"/>
      <c r="D71" s="18"/>
      <c r="E71" s="18"/>
      <c r="F71" s="18"/>
      <c r="J71" s="18"/>
      <c r="K71" s="18"/>
      <c r="N71" s="18"/>
      <c r="O71" s="18"/>
    </row>
    <row r="72" spans="1:15" s="17" customFormat="1" ht="21" customHeight="1">
      <c r="A72" s="18"/>
      <c r="D72" s="18"/>
      <c r="E72" s="18"/>
      <c r="F72" s="18"/>
      <c r="J72" s="18"/>
      <c r="K72" s="18"/>
      <c r="N72" s="18"/>
      <c r="O72" s="18"/>
    </row>
    <row r="73" spans="1:15" s="17" customFormat="1" ht="21" customHeight="1">
      <c r="A73" s="18"/>
      <c r="D73" s="18"/>
      <c r="E73" s="18"/>
      <c r="F73" s="18"/>
      <c r="J73" s="18"/>
      <c r="K73" s="18"/>
      <c r="N73" s="18"/>
      <c r="O73" s="18"/>
    </row>
    <row r="74" spans="1:15" s="17" customFormat="1" ht="21" customHeight="1">
      <c r="A74" s="18"/>
      <c r="D74" s="18"/>
      <c r="E74" s="18"/>
      <c r="F74" s="18"/>
      <c r="J74" s="18"/>
      <c r="K74" s="18"/>
      <c r="N74" s="18"/>
      <c r="O74" s="18"/>
    </row>
    <row r="75" spans="1:15" s="17" customFormat="1" ht="21" customHeight="1">
      <c r="A75" s="18"/>
      <c r="D75" s="18"/>
      <c r="E75" s="18"/>
      <c r="F75" s="18"/>
      <c r="J75" s="18"/>
      <c r="K75" s="18"/>
      <c r="N75" s="18"/>
      <c r="O75" s="18"/>
    </row>
    <row r="76" spans="1:15" s="17" customFormat="1" ht="21" customHeight="1">
      <c r="A76" s="18"/>
      <c r="D76" s="18"/>
      <c r="E76" s="18"/>
      <c r="F76" s="18"/>
      <c r="J76" s="18"/>
      <c r="K76" s="18"/>
      <c r="N76" s="18"/>
      <c r="O76" s="18"/>
    </row>
    <row r="77" spans="1:15" s="17" customFormat="1" ht="21" customHeight="1">
      <c r="A77" s="18"/>
      <c r="D77" s="18"/>
      <c r="E77" s="18"/>
      <c r="F77" s="18"/>
      <c r="J77" s="18"/>
      <c r="K77" s="18"/>
      <c r="N77" s="18"/>
      <c r="O77" s="18"/>
    </row>
    <row r="78" spans="1:15" s="17" customFormat="1" ht="21" customHeight="1">
      <c r="A78" s="18"/>
      <c r="D78" s="18"/>
      <c r="E78" s="18"/>
      <c r="F78" s="18"/>
      <c r="J78" s="18"/>
      <c r="K78" s="18"/>
      <c r="N78" s="18"/>
      <c r="O78" s="18"/>
    </row>
    <row r="79" spans="1:15" s="17" customFormat="1" ht="21" customHeight="1">
      <c r="A79" s="18"/>
      <c r="D79" s="18"/>
      <c r="E79" s="18"/>
      <c r="F79" s="18"/>
      <c r="J79" s="18"/>
      <c r="K79" s="18"/>
      <c r="N79" s="18"/>
      <c r="O79" s="18"/>
    </row>
    <row r="80" spans="1:15" s="17" customFormat="1" ht="21" customHeight="1">
      <c r="A80" s="18"/>
      <c r="D80" s="18"/>
      <c r="E80" s="18"/>
      <c r="F80" s="18"/>
      <c r="J80" s="18"/>
      <c r="K80" s="18"/>
      <c r="N80" s="18"/>
      <c r="O80" s="18"/>
    </row>
    <row r="81" spans="1:15" s="17" customFormat="1" ht="21" customHeight="1">
      <c r="A81" s="18"/>
      <c r="D81" s="18"/>
      <c r="E81" s="18"/>
      <c r="F81" s="18"/>
      <c r="J81" s="18"/>
      <c r="K81" s="18"/>
      <c r="N81" s="18"/>
      <c r="O81" s="18"/>
    </row>
    <row r="82" spans="1:15" s="17" customFormat="1" ht="21" customHeight="1">
      <c r="A82" s="18"/>
      <c r="D82" s="18"/>
      <c r="E82" s="18"/>
      <c r="F82" s="18"/>
      <c r="J82" s="18"/>
      <c r="K82" s="18"/>
      <c r="N82" s="18"/>
      <c r="O82" s="18"/>
    </row>
    <row r="83" spans="1:15" s="17" customFormat="1" ht="21" customHeight="1">
      <c r="A83" s="18"/>
      <c r="D83" s="18"/>
      <c r="E83" s="18"/>
      <c r="F83" s="18"/>
      <c r="J83" s="18"/>
      <c r="K83" s="18"/>
      <c r="N83" s="18"/>
      <c r="O83" s="18"/>
    </row>
    <row r="84" spans="1:15" s="17" customFormat="1" ht="21" customHeight="1">
      <c r="A84" s="18"/>
      <c r="D84" s="18"/>
      <c r="E84" s="18"/>
      <c r="F84" s="18"/>
      <c r="J84" s="18"/>
      <c r="K84" s="18"/>
      <c r="N84" s="18"/>
      <c r="O84" s="18"/>
    </row>
    <row r="85" spans="1:15" s="17" customFormat="1" ht="21" customHeight="1">
      <c r="A85" s="18"/>
      <c r="D85" s="18"/>
      <c r="E85" s="18"/>
      <c r="F85" s="18"/>
      <c r="J85" s="18"/>
      <c r="K85" s="18"/>
      <c r="N85" s="18"/>
      <c r="O85" s="18"/>
    </row>
    <row r="86" spans="1:15" s="17" customFormat="1" ht="21" customHeight="1">
      <c r="A86" s="18"/>
      <c r="D86" s="18"/>
      <c r="E86" s="18"/>
      <c r="F86" s="18"/>
      <c r="J86" s="18"/>
      <c r="K86" s="18"/>
      <c r="N86" s="18"/>
      <c r="O86" s="18"/>
    </row>
    <row r="87" spans="1:15" s="17" customFormat="1" ht="21" customHeight="1">
      <c r="A87" s="18"/>
      <c r="D87" s="18"/>
      <c r="E87" s="18"/>
      <c r="F87" s="18"/>
      <c r="J87" s="18"/>
      <c r="K87" s="18"/>
      <c r="N87" s="18"/>
      <c r="O87" s="18"/>
    </row>
    <row r="88" spans="1:15" s="17" customFormat="1" ht="21" customHeight="1">
      <c r="A88" s="18"/>
      <c r="D88" s="18"/>
      <c r="E88" s="18"/>
      <c r="F88" s="18"/>
      <c r="J88" s="18"/>
      <c r="K88" s="18"/>
      <c r="N88" s="18"/>
      <c r="O88" s="18"/>
    </row>
    <row r="89" spans="1:15" s="17" customFormat="1" ht="21" customHeight="1">
      <c r="A89" s="18"/>
      <c r="D89" s="18"/>
      <c r="E89" s="18"/>
      <c r="F89" s="18"/>
      <c r="J89" s="18"/>
      <c r="K89" s="18"/>
      <c r="N89" s="18"/>
      <c r="O89" s="18"/>
    </row>
    <row r="90" spans="1:15" s="17" customFormat="1" ht="21" customHeight="1">
      <c r="A90" s="18"/>
      <c r="D90" s="18"/>
      <c r="E90" s="18"/>
      <c r="F90" s="18"/>
      <c r="J90" s="18"/>
      <c r="K90" s="18"/>
      <c r="N90" s="18"/>
      <c r="O90" s="18"/>
    </row>
    <row r="91" spans="1:15" s="17" customFormat="1" ht="21" customHeight="1">
      <c r="A91" s="18"/>
      <c r="D91" s="18"/>
      <c r="E91" s="18"/>
      <c r="F91" s="18"/>
      <c r="J91" s="18"/>
      <c r="K91" s="18"/>
      <c r="N91" s="18"/>
      <c r="O91" s="18"/>
    </row>
    <row r="92" spans="1:15" s="17" customFormat="1" ht="21" customHeight="1">
      <c r="A92" s="18"/>
      <c r="D92" s="18"/>
      <c r="E92" s="18"/>
      <c r="F92" s="18"/>
      <c r="J92" s="18"/>
      <c r="K92" s="18"/>
      <c r="N92" s="18"/>
      <c r="O92" s="18"/>
    </row>
    <row r="93" spans="1:15" s="17" customFormat="1" ht="21" customHeight="1">
      <c r="A93" s="18"/>
      <c r="D93" s="18"/>
      <c r="E93" s="18"/>
      <c r="F93" s="18"/>
      <c r="J93" s="18"/>
      <c r="K93" s="18"/>
      <c r="N93" s="18"/>
      <c r="O93" s="18"/>
    </row>
    <row r="94" spans="1:15" s="17" customFormat="1" ht="21" customHeight="1">
      <c r="A94" s="18"/>
      <c r="D94" s="18"/>
      <c r="E94" s="18"/>
      <c r="F94" s="18"/>
      <c r="J94" s="18"/>
      <c r="K94" s="18"/>
      <c r="N94" s="18"/>
      <c r="O94" s="18"/>
    </row>
    <row r="95" spans="1:15" s="17" customFormat="1" ht="21" customHeight="1">
      <c r="A95" s="18"/>
      <c r="D95" s="18"/>
      <c r="E95" s="18"/>
      <c r="F95" s="18"/>
      <c r="J95" s="18"/>
      <c r="K95" s="18"/>
      <c r="N95" s="18"/>
      <c r="O95" s="18"/>
    </row>
    <row r="96" spans="1:15" s="17" customFormat="1" ht="21" customHeight="1">
      <c r="A96" s="18"/>
      <c r="D96" s="18"/>
      <c r="E96" s="18"/>
      <c r="F96" s="18"/>
      <c r="J96" s="18"/>
      <c r="K96" s="18"/>
      <c r="N96" s="18"/>
      <c r="O96" s="18"/>
    </row>
    <row r="97" spans="1:15" s="17" customFormat="1" ht="21" customHeight="1">
      <c r="A97" s="18"/>
      <c r="D97" s="18"/>
      <c r="E97" s="18"/>
      <c r="F97" s="18"/>
      <c r="J97" s="18"/>
      <c r="K97" s="18"/>
      <c r="N97" s="18"/>
      <c r="O97" s="18"/>
    </row>
    <row r="98" spans="1:15" s="17" customFormat="1" ht="21" customHeight="1">
      <c r="A98" s="18"/>
      <c r="D98" s="18"/>
      <c r="E98" s="18"/>
      <c r="F98" s="18"/>
      <c r="J98" s="18"/>
      <c r="K98" s="18"/>
      <c r="N98" s="18"/>
      <c r="O98" s="18"/>
    </row>
    <row r="99" spans="1:15" s="17" customFormat="1" ht="21" customHeight="1">
      <c r="A99" s="18"/>
      <c r="D99" s="18"/>
      <c r="E99" s="18"/>
      <c r="F99" s="18"/>
      <c r="J99" s="18"/>
      <c r="K99" s="18"/>
      <c r="N99" s="18"/>
      <c r="O99" s="18"/>
    </row>
    <row r="100" spans="1:15" s="17" customFormat="1" ht="21" customHeight="1">
      <c r="A100" s="18"/>
      <c r="D100" s="18"/>
      <c r="E100" s="18"/>
      <c r="F100" s="18"/>
      <c r="J100" s="18"/>
      <c r="K100" s="18"/>
      <c r="N100" s="18"/>
      <c r="O100" s="18"/>
    </row>
    <row r="101" spans="1:15" s="17" customFormat="1" ht="21" customHeight="1">
      <c r="A101" s="18"/>
      <c r="D101" s="18"/>
      <c r="E101" s="18"/>
      <c r="F101" s="18"/>
      <c r="J101" s="18"/>
      <c r="K101" s="18"/>
      <c r="N101" s="18"/>
      <c r="O101" s="18"/>
    </row>
    <row r="102" spans="1:15" s="17" customFormat="1" ht="21" customHeight="1">
      <c r="A102" s="18"/>
      <c r="D102" s="18"/>
      <c r="E102" s="18"/>
      <c r="F102" s="18"/>
      <c r="J102" s="18"/>
      <c r="K102" s="18"/>
      <c r="N102" s="18"/>
      <c r="O102" s="18"/>
    </row>
    <row r="103" spans="1:15" s="17" customFormat="1" ht="21" customHeight="1">
      <c r="A103" s="18"/>
      <c r="D103" s="18"/>
      <c r="E103" s="18"/>
      <c r="F103" s="18"/>
      <c r="J103" s="18"/>
      <c r="K103" s="18"/>
      <c r="N103" s="18"/>
      <c r="O103" s="18"/>
    </row>
    <row r="104" spans="1:15" s="17" customFormat="1" ht="21" customHeight="1">
      <c r="A104" s="18"/>
      <c r="D104" s="18"/>
      <c r="E104" s="18"/>
      <c r="F104" s="18"/>
      <c r="J104" s="18"/>
      <c r="K104" s="18"/>
      <c r="N104" s="18"/>
      <c r="O104" s="18"/>
    </row>
    <row r="105" spans="1:15" s="17" customFormat="1" ht="21" customHeight="1">
      <c r="A105" s="18"/>
      <c r="D105" s="18"/>
      <c r="E105" s="18"/>
      <c r="F105" s="18"/>
      <c r="J105" s="18"/>
      <c r="K105" s="18"/>
      <c r="N105" s="18"/>
      <c r="O105" s="18"/>
    </row>
    <row r="106" spans="1:15" s="17" customFormat="1" ht="21" customHeight="1">
      <c r="A106" s="18"/>
      <c r="D106" s="18"/>
      <c r="E106" s="18"/>
      <c r="F106" s="18"/>
      <c r="J106" s="18"/>
      <c r="K106" s="18"/>
      <c r="N106" s="18"/>
      <c r="O106" s="18"/>
    </row>
    <row r="107" spans="1:15" s="17" customFormat="1" ht="21" customHeight="1">
      <c r="A107" s="18"/>
      <c r="D107" s="18"/>
      <c r="E107" s="18"/>
      <c r="F107" s="18"/>
      <c r="J107" s="18"/>
      <c r="K107" s="18"/>
      <c r="N107" s="18"/>
      <c r="O107" s="18"/>
    </row>
    <row r="108" spans="1:15" s="17" customFormat="1" ht="21" customHeight="1">
      <c r="A108" s="18"/>
      <c r="D108" s="18"/>
      <c r="E108" s="18"/>
      <c r="F108" s="18"/>
      <c r="J108" s="18"/>
      <c r="K108" s="18"/>
      <c r="N108" s="18"/>
      <c r="O108" s="18"/>
    </row>
    <row r="109" spans="1:15" s="17" customFormat="1" ht="21" customHeight="1">
      <c r="A109" s="18"/>
      <c r="D109" s="18"/>
      <c r="E109" s="18"/>
      <c r="F109" s="18"/>
      <c r="J109" s="18"/>
      <c r="K109" s="18"/>
      <c r="N109" s="18"/>
      <c r="O109" s="18"/>
    </row>
    <row r="110" spans="1:15" s="17" customFormat="1" ht="21" customHeight="1">
      <c r="A110" s="18"/>
      <c r="D110" s="18"/>
      <c r="E110" s="18"/>
      <c r="F110" s="18"/>
      <c r="J110" s="18"/>
      <c r="K110" s="18"/>
      <c r="N110" s="18"/>
      <c r="O110" s="18"/>
    </row>
    <row r="111" spans="1:15" s="17" customFormat="1" ht="21" customHeight="1">
      <c r="A111" s="18"/>
      <c r="D111" s="18"/>
      <c r="E111" s="18"/>
      <c r="F111" s="18"/>
      <c r="J111" s="18"/>
      <c r="K111" s="18"/>
      <c r="N111" s="18"/>
      <c r="O111" s="18"/>
    </row>
    <row r="112" spans="1:15" s="17" customFormat="1" ht="21" customHeight="1">
      <c r="A112" s="18"/>
      <c r="D112" s="18"/>
      <c r="E112" s="18"/>
      <c r="F112" s="18"/>
      <c r="J112" s="18"/>
      <c r="K112" s="18"/>
      <c r="N112" s="18"/>
      <c r="O112" s="18"/>
    </row>
    <row r="113" spans="1:15" s="17" customFormat="1" ht="21" customHeight="1">
      <c r="A113" s="18"/>
      <c r="D113" s="18"/>
      <c r="E113" s="18"/>
      <c r="F113" s="18"/>
      <c r="J113" s="18"/>
      <c r="K113" s="18"/>
      <c r="N113" s="18"/>
      <c r="O113" s="18"/>
    </row>
    <row r="114" spans="1:15" s="17" customFormat="1" ht="21" customHeight="1">
      <c r="A114" s="18"/>
      <c r="D114" s="18"/>
      <c r="E114" s="18"/>
      <c r="F114" s="18"/>
      <c r="J114" s="18"/>
      <c r="K114" s="18"/>
      <c r="N114" s="18"/>
      <c r="O114" s="18"/>
    </row>
    <row r="115" spans="1:15" s="17" customFormat="1" ht="21" customHeight="1">
      <c r="A115" s="18"/>
      <c r="D115" s="18"/>
      <c r="E115" s="18"/>
      <c r="F115" s="18"/>
      <c r="J115" s="18"/>
      <c r="K115" s="18"/>
      <c r="N115" s="18"/>
      <c r="O115" s="18"/>
    </row>
    <row r="116" spans="1:15" s="17" customFormat="1" ht="21" customHeight="1">
      <c r="A116" s="18"/>
      <c r="D116" s="18"/>
      <c r="E116" s="18"/>
      <c r="F116" s="18"/>
      <c r="J116" s="18"/>
      <c r="K116" s="18"/>
      <c r="N116" s="18"/>
      <c r="O116" s="18"/>
    </row>
    <row r="117" spans="1:15" s="17" customFormat="1" ht="21" customHeight="1">
      <c r="A117" s="18"/>
      <c r="D117" s="18"/>
      <c r="E117" s="18"/>
      <c r="F117" s="18"/>
      <c r="J117" s="18"/>
      <c r="K117" s="18"/>
      <c r="N117" s="18"/>
      <c r="O117" s="18"/>
    </row>
    <row r="118" spans="1:15" s="17" customFormat="1" ht="21" customHeight="1">
      <c r="A118" s="18"/>
      <c r="D118" s="18"/>
      <c r="E118" s="18"/>
      <c r="F118" s="18"/>
      <c r="J118" s="18"/>
      <c r="K118" s="18"/>
      <c r="N118" s="18"/>
      <c r="O118" s="18"/>
    </row>
    <row r="119" spans="1:15" s="17" customFormat="1" ht="21" customHeight="1">
      <c r="A119" s="18"/>
      <c r="D119" s="18"/>
      <c r="E119" s="18"/>
      <c r="F119" s="18"/>
      <c r="J119" s="18"/>
      <c r="K119" s="18"/>
      <c r="N119" s="18"/>
      <c r="O119" s="18"/>
    </row>
    <row r="120" spans="1:15" s="17" customFormat="1" ht="21" customHeight="1">
      <c r="A120" s="18"/>
      <c r="D120" s="18"/>
      <c r="E120" s="18"/>
      <c r="F120" s="18"/>
      <c r="J120" s="18"/>
      <c r="K120" s="18"/>
      <c r="N120" s="18"/>
      <c r="O120" s="18"/>
    </row>
    <row r="121" spans="1:15" s="17" customFormat="1" ht="21" customHeight="1">
      <c r="A121" s="18"/>
      <c r="D121" s="18"/>
      <c r="E121" s="18"/>
      <c r="F121" s="18"/>
      <c r="J121" s="18"/>
      <c r="K121" s="18"/>
      <c r="N121" s="18"/>
      <c r="O121" s="18"/>
    </row>
    <row r="122" spans="1:15" s="17" customFormat="1" ht="21" customHeight="1">
      <c r="A122" s="18"/>
      <c r="D122" s="18"/>
      <c r="E122" s="18"/>
      <c r="F122" s="18"/>
      <c r="J122" s="18"/>
      <c r="K122" s="18"/>
      <c r="N122" s="18"/>
      <c r="O122" s="18"/>
    </row>
    <row r="123" spans="1:15" s="17" customFormat="1" ht="21" customHeight="1">
      <c r="A123" s="18"/>
      <c r="D123" s="18"/>
      <c r="E123" s="18"/>
      <c r="F123" s="18"/>
      <c r="J123" s="18"/>
      <c r="K123" s="18"/>
      <c r="N123" s="18"/>
      <c r="O123" s="18"/>
    </row>
    <row r="124" spans="1:15" s="17" customFormat="1" ht="21" customHeight="1">
      <c r="A124" s="18"/>
      <c r="D124" s="18"/>
      <c r="E124" s="18"/>
      <c r="F124" s="18"/>
      <c r="J124" s="18"/>
      <c r="K124" s="18"/>
      <c r="N124" s="18"/>
      <c r="O124" s="18"/>
    </row>
    <row r="125" spans="1:15" s="17" customFormat="1" ht="21" customHeight="1">
      <c r="A125" s="18"/>
      <c r="D125" s="18"/>
      <c r="E125" s="18"/>
      <c r="F125" s="18"/>
      <c r="J125" s="18"/>
      <c r="K125" s="18"/>
      <c r="N125" s="18"/>
      <c r="O125" s="18"/>
    </row>
    <row r="126" spans="1:15" s="17" customFormat="1" ht="21" customHeight="1">
      <c r="A126" s="18"/>
      <c r="D126" s="18"/>
      <c r="E126" s="18"/>
      <c r="F126" s="18"/>
      <c r="J126" s="18"/>
      <c r="K126" s="18"/>
      <c r="N126" s="18"/>
      <c r="O126" s="18"/>
    </row>
    <row r="127" spans="1:15" s="17" customFormat="1" ht="21" customHeight="1">
      <c r="A127" s="18"/>
      <c r="D127" s="18"/>
      <c r="E127" s="18"/>
      <c r="F127" s="18"/>
      <c r="J127" s="18"/>
      <c r="K127" s="18"/>
      <c r="N127" s="18"/>
      <c r="O127" s="18"/>
    </row>
    <row r="128" spans="1:15" s="17" customFormat="1" ht="21" customHeight="1">
      <c r="A128" s="18"/>
      <c r="D128" s="18"/>
      <c r="E128" s="18"/>
      <c r="F128" s="18"/>
      <c r="J128" s="18"/>
      <c r="K128" s="18"/>
      <c r="N128" s="18"/>
      <c r="O128" s="18"/>
    </row>
    <row r="129" spans="1:15" s="17" customFormat="1" ht="21" customHeight="1">
      <c r="A129" s="18"/>
      <c r="D129" s="18"/>
      <c r="E129" s="18"/>
      <c r="F129" s="18"/>
      <c r="J129" s="18"/>
      <c r="K129" s="18"/>
      <c r="N129" s="18"/>
      <c r="O129" s="18"/>
    </row>
    <row r="130" spans="1:15" s="17" customFormat="1" ht="21" customHeight="1">
      <c r="A130" s="18"/>
      <c r="D130" s="18"/>
      <c r="E130" s="18"/>
      <c r="F130" s="18"/>
      <c r="J130" s="18"/>
      <c r="K130" s="18"/>
      <c r="N130" s="18"/>
      <c r="O130" s="18"/>
    </row>
    <row r="131" spans="1:15" s="17" customFormat="1" ht="21" customHeight="1">
      <c r="A131" s="18"/>
      <c r="D131" s="18"/>
      <c r="E131" s="18"/>
      <c r="F131" s="18"/>
      <c r="J131" s="18"/>
      <c r="K131" s="18"/>
      <c r="N131" s="18"/>
      <c r="O131" s="18"/>
    </row>
    <row r="132" spans="1:15" s="17" customFormat="1" ht="21" customHeight="1">
      <c r="A132" s="18"/>
      <c r="D132" s="18"/>
      <c r="E132" s="18"/>
      <c r="F132" s="18"/>
      <c r="J132" s="18"/>
      <c r="K132" s="18"/>
      <c r="N132" s="18"/>
      <c r="O132" s="18"/>
    </row>
    <row r="133" spans="1:15" s="17" customFormat="1" ht="21" customHeight="1">
      <c r="A133" s="18"/>
      <c r="D133" s="18"/>
      <c r="E133" s="18"/>
      <c r="F133" s="18"/>
      <c r="J133" s="18"/>
      <c r="K133" s="18"/>
      <c r="N133" s="18"/>
      <c r="O133" s="18"/>
    </row>
    <row r="134" spans="1:15" s="17" customFormat="1" ht="21" customHeight="1">
      <c r="A134" s="18"/>
      <c r="D134" s="18"/>
      <c r="E134" s="18"/>
      <c r="F134" s="18"/>
      <c r="J134" s="18"/>
      <c r="K134" s="18"/>
      <c r="N134" s="18"/>
      <c r="O134" s="18"/>
    </row>
    <row r="135" spans="1:15" s="17" customFormat="1" ht="21" customHeight="1">
      <c r="A135" s="18"/>
      <c r="D135" s="18"/>
      <c r="E135" s="18"/>
      <c r="F135" s="18"/>
      <c r="J135" s="18"/>
      <c r="K135" s="18"/>
      <c r="N135" s="18"/>
      <c r="O135" s="18"/>
    </row>
    <row r="136" spans="1:15" s="17" customFormat="1" ht="21" customHeight="1">
      <c r="A136" s="18"/>
      <c r="D136" s="18"/>
      <c r="E136" s="18"/>
      <c r="F136" s="18"/>
      <c r="J136" s="18"/>
      <c r="K136" s="18"/>
      <c r="N136" s="18"/>
      <c r="O136" s="18"/>
    </row>
    <row r="137" spans="1:15" s="17" customFormat="1" ht="21" customHeight="1">
      <c r="A137" s="18"/>
      <c r="D137" s="18"/>
      <c r="E137" s="18"/>
      <c r="F137" s="18"/>
      <c r="J137" s="18"/>
      <c r="K137" s="18"/>
      <c r="N137" s="18"/>
      <c r="O137" s="18"/>
    </row>
    <row r="138" spans="1:15" s="17" customFormat="1" ht="21" customHeight="1">
      <c r="A138" s="18"/>
      <c r="D138" s="18"/>
      <c r="E138" s="18"/>
      <c r="F138" s="18"/>
      <c r="J138" s="18"/>
      <c r="K138" s="18"/>
      <c r="N138" s="18"/>
      <c r="O138" s="18"/>
    </row>
    <row r="139" spans="1:15" s="17" customFormat="1" ht="21" customHeight="1">
      <c r="A139" s="18"/>
      <c r="D139" s="18"/>
      <c r="E139" s="18"/>
      <c r="F139" s="18"/>
      <c r="J139" s="18"/>
      <c r="K139" s="18"/>
      <c r="N139" s="18"/>
      <c r="O139" s="18"/>
    </row>
    <row r="140" spans="1:15" s="17" customFormat="1" ht="21" customHeight="1">
      <c r="A140" s="18"/>
      <c r="D140" s="18"/>
      <c r="E140" s="18"/>
      <c r="F140" s="18"/>
      <c r="J140" s="18"/>
      <c r="K140" s="18"/>
      <c r="N140" s="18"/>
      <c r="O140" s="18"/>
    </row>
    <row r="141" spans="1:15" s="17" customFormat="1" ht="21" customHeight="1">
      <c r="A141" s="18"/>
      <c r="D141" s="18"/>
      <c r="E141" s="18"/>
      <c r="F141" s="18"/>
      <c r="J141" s="18"/>
      <c r="K141" s="18"/>
      <c r="N141" s="18"/>
      <c r="O141" s="18"/>
    </row>
    <row r="142" spans="1:15" s="17" customFormat="1" ht="21" customHeight="1">
      <c r="A142" s="18"/>
      <c r="D142" s="18"/>
      <c r="E142" s="18"/>
      <c r="F142" s="18"/>
      <c r="J142" s="18"/>
      <c r="K142" s="18"/>
      <c r="N142" s="18"/>
      <c r="O142" s="18"/>
    </row>
    <row r="143" spans="1:15" s="17" customFormat="1" ht="21" customHeight="1">
      <c r="A143" s="18"/>
      <c r="D143" s="18"/>
      <c r="E143" s="18"/>
      <c r="F143" s="18"/>
      <c r="J143" s="18"/>
      <c r="K143" s="18"/>
      <c r="N143" s="18"/>
      <c r="O143" s="18"/>
    </row>
    <row r="144" spans="1:15" s="17" customFormat="1" ht="21" customHeight="1">
      <c r="A144" s="18"/>
      <c r="D144" s="18"/>
      <c r="E144" s="18"/>
      <c r="F144" s="18"/>
      <c r="J144" s="18"/>
      <c r="K144" s="18"/>
      <c r="N144" s="18"/>
      <c r="O144" s="18"/>
    </row>
    <row r="145" spans="1:15" s="17" customFormat="1" ht="21" customHeight="1">
      <c r="A145" s="18"/>
      <c r="D145" s="18"/>
      <c r="E145" s="18"/>
      <c r="F145" s="18"/>
      <c r="J145" s="18"/>
      <c r="K145" s="18"/>
      <c r="N145" s="18"/>
      <c r="O145" s="18"/>
    </row>
    <row r="146" spans="1:15" s="17" customFormat="1" ht="21" customHeight="1">
      <c r="A146" s="18"/>
      <c r="D146" s="18"/>
      <c r="E146" s="18"/>
      <c r="F146" s="18"/>
      <c r="J146" s="18"/>
      <c r="K146" s="18"/>
      <c r="N146" s="18"/>
      <c r="O146" s="18"/>
    </row>
    <row r="147" spans="1:15" s="17" customFormat="1" ht="21" customHeight="1">
      <c r="A147" s="18"/>
      <c r="D147" s="18"/>
      <c r="E147" s="18"/>
      <c r="F147" s="18"/>
      <c r="J147" s="18"/>
      <c r="K147" s="18"/>
      <c r="N147" s="18"/>
      <c r="O147" s="18"/>
    </row>
    <row r="148" spans="1:15" s="17" customFormat="1" ht="21" customHeight="1">
      <c r="A148" s="18"/>
      <c r="D148" s="18"/>
      <c r="E148" s="18"/>
      <c r="F148" s="18"/>
      <c r="J148" s="18"/>
      <c r="K148" s="18"/>
      <c r="N148" s="18"/>
      <c r="O148" s="18"/>
    </row>
    <row r="149" spans="1:15" s="17" customFormat="1" ht="21" customHeight="1">
      <c r="A149" s="18"/>
      <c r="D149" s="18"/>
      <c r="E149" s="18"/>
      <c r="F149" s="18"/>
      <c r="J149" s="18"/>
      <c r="K149" s="18"/>
      <c r="N149" s="18"/>
      <c r="O149" s="18"/>
    </row>
    <row r="150" spans="1:15" s="17" customFormat="1" ht="21" customHeight="1">
      <c r="A150" s="18"/>
      <c r="D150" s="18"/>
      <c r="E150" s="18"/>
      <c r="F150" s="18"/>
      <c r="J150" s="18"/>
      <c r="K150" s="18"/>
      <c r="N150" s="18"/>
      <c r="O150" s="18"/>
    </row>
    <row r="151" spans="1:15" s="17" customFormat="1" ht="21" customHeight="1">
      <c r="A151" s="18"/>
      <c r="D151" s="18"/>
      <c r="E151" s="18"/>
      <c r="F151" s="18"/>
      <c r="J151" s="18"/>
      <c r="K151" s="18"/>
      <c r="N151" s="18"/>
      <c r="O151" s="18"/>
    </row>
    <row r="152" spans="1:15" s="17" customFormat="1" ht="21" customHeight="1">
      <c r="A152" s="18"/>
      <c r="D152" s="18"/>
      <c r="E152" s="18"/>
      <c r="F152" s="18"/>
      <c r="J152" s="18"/>
      <c r="K152" s="18"/>
      <c r="N152" s="18"/>
      <c r="O152" s="18"/>
    </row>
    <row r="153" spans="1:15" s="17" customFormat="1" ht="21" customHeight="1">
      <c r="A153" s="18"/>
      <c r="D153" s="18"/>
      <c r="E153" s="18"/>
      <c r="F153" s="18"/>
      <c r="J153" s="18"/>
      <c r="K153" s="18"/>
      <c r="N153" s="18"/>
      <c r="O153" s="18"/>
    </row>
    <row r="154" spans="1:15" s="17" customFormat="1" ht="21" customHeight="1">
      <c r="A154" s="18"/>
      <c r="D154" s="18"/>
      <c r="E154" s="18"/>
      <c r="F154" s="18"/>
      <c r="J154" s="18"/>
      <c r="K154" s="18"/>
      <c r="N154" s="18"/>
      <c r="O154" s="18"/>
    </row>
    <row r="155" spans="1:15" s="17" customFormat="1" ht="21" customHeight="1">
      <c r="A155" s="18"/>
      <c r="D155" s="18"/>
      <c r="E155" s="18"/>
      <c r="F155" s="18"/>
      <c r="J155" s="18"/>
      <c r="K155" s="18"/>
      <c r="N155" s="18"/>
      <c r="O155" s="18"/>
    </row>
    <row r="156" spans="1:15" s="17" customFormat="1" ht="21" customHeight="1">
      <c r="A156" s="18"/>
      <c r="D156" s="18"/>
      <c r="E156" s="18"/>
      <c r="F156" s="18"/>
      <c r="J156" s="18"/>
      <c r="K156" s="18"/>
      <c r="N156" s="18"/>
      <c r="O156" s="18"/>
    </row>
    <row r="157" spans="1:15" s="17" customFormat="1" ht="21" customHeight="1">
      <c r="A157" s="18"/>
      <c r="D157" s="18"/>
      <c r="E157" s="18"/>
      <c r="F157" s="18"/>
      <c r="J157" s="18"/>
      <c r="K157" s="18"/>
      <c r="N157" s="18"/>
      <c r="O157" s="18"/>
    </row>
    <row r="158" spans="1:15" s="17" customFormat="1" ht="21" customHeight="1">
      <c r="A158" s="18"/>
      <c r="D158" s="18"/>
      <c r="E158" s="18"/>
      <c r="F158" s="18"/>
      <c r="J158" s="18"/>
      <c r="K158" s="18"/>
      <c r="N158" s="18"/>
      <c r="O158" s="18"/>
    </row>
    <row r="159" spans="1:15" s="17" customFormat="1" ht="21" customHeight="1">
      <c r="A159" s="18"/>
      <c r="D159" s="18"/>
      <c r="E159" s="18"/>
      <c r="F159" s="18"/>
      <c r="J159" s="18"/>
      <c r="K159" s="18"/>
      <c r="N159" s="18"/>
      <c r="O159" s="18"/>
    </row>
    <row r="160" spans="1:15" s="17" customFormat="1" ht="21" customHeight="1">
      <c r="A160" s="18"/>
      <c r="D160" s="18"/>
      <c r="E160" s="18"/>
      <c r="F160" s="18"/>
      <c r="J160" s="18"/>
      <c r="K160" s="18"/>
      <c r="N160" s="18"/>
      <c r="O160" s="18"/>
    </row>
    <row r="161" spans="1:15" s="17" customFormat="1" ht="21" customHeight="1">
      <c r="A161" s="18"/>
      <c r="D161" s="18"/>
      <c r="E161" s="18"/>
      <c r="F161" s="18"/>
      <c r="J161" s="18"/>
      <c r="K161" s="18"/>
      <c r="N161" s="18"/>
      <c r="O161" s="18"/>
    </row>
    <row r="162" spans="1:15" s="17" customFormat="1" ht="21" customHeight="1">
      <c r="A162" s="18"/>
      <c r="D162" s="18"/>
      <c r="E162" s="18"/>
      <c r="F162" s="18"/>
      <c r="J162" s="18"/>
      <c r="K162" s="18"/>
      <c r="N162" s="18"/>
      <c r="O162" s="18"/>
    </row>
    <row r="163" spans="1:15" s="17" customFormat="1" ht="21" customHeight="1">
      <c r="A163" s="18"/>
      <c r="D163" s="18"/>
      <c r="E163" s="18"/>
      <c r="F163" s="18"/>
      <c r="J163" s="18"/>
      <c r="K163" s="18"/>
      <c r="N163" s="18"/>
      <c r="O163" s="18"/>
    </row>
    <row r="164" spans="1:15" s="17" customFormat="1" ht="21" customHeight="1">
      <c r="A164" s="18"/>
      <c r="D164" s="18"/>
      <c r="E164" s="18"/>
      <c r="F164" s="18"/>
      <c r="J164" s="18"/>
      <c r="K164" s="18"/>
      <c r="N164" s="18"/>
      <c r="O164" s="18"/>
    </row>
    <row r="165" spans="1:15" s="17" customFormat="1" ht="21" customHeight="1">
      <c r="A165" s="18"/>
      <c r="D165" s="18"/>
      <c r="E165" s="18"/>
      <c r="F165" s="18"/>
      <c r="J165" s="18"/>
      <c r="K165" s="18"/>
      <c r="N165" s="18"/>
      <c r="O165" s="18"/>
    </row>
    <row r="166" spans="1:15" s="17" customFormat="1" ht="21" customHeight="1">
      <c r="A166" s="18"/>
      <c r="D166" s="18"/>
      <c r="E166" s="18"/>
      <c r="F166" s="18"/>
      <c r="J166" s="18"/>
      <c r="K166" s="18"/>
      <c r="N166" s="18"/>
      <c r="O166" s="18"/>
    </row>
    <row r="167" spans="1:15" s="17" customFormat="1" ht="21" customHeight="1">
      <c r="A167" s="18"/>
      <c r="D167" s="18"/>
      <c r="E167" s="18"/>
      <c r="F167" s="18"/>
      <c r="J167" s="18"/>
      <c r="K167" s="18"/>
      <c r="N167" s="18"/>
      <c r="O167" s="18"/>
    </row>
    <row r="168" spans="1:15" s="17" customFormat="1" ht="21" customHeight="1">
      <c r="A168" s="18"/>
      <c r="D168" s="18"/>
      <c r="E168" s="18"/>
      <c r="F168" s="18"/>
      <c r="J168" s="18"/>
      <c r="K168" s="18"/>
      <c r="N168" s="18"/>
      <c r="O168" s="18"/>
    </row>
    <row r="169" spans="1:15" s="17" customFormat="1" ht="21" customHeight="1">
      <c r="A169" s="18"/>
      <c r="D169" s="18"/>
      <c r="E169" s="18"/>
      <c r="F169" s="18"/>
      <c r="J169" s="18"/>
      <c r="K169" s="18"/>
      <c r="N169" s="18"/>
      <c r="O169" s="18"/>
    </row>
    <row r="170" spans="1:15" s="17" customFormat="1" ht="21" customHeight="1">
      <c r="A170" s="18"/>
      <c r="D170" s="18"/>
      <c r="E170" s="18"/>
      <c r="F170" s="18"/>
      <c r="J170" s="18"/>
      <c r="K170" s="18"/>
      <c r="N170" s="18"/>
      <c r="O170" s="18"/>
    </row>
    <row r="171" spans="1:15" s="17" customFormat="1" ht="21" customHeight="1">
      <c r="A171" s="18"/>
      <c r="D171" s="18"/>
      <c r="E171" s="18"/>
      <c r="F171" s="18"/>
      <c r="J171" s="18"/>
      <c r="K171" s="18"/>
      <c r="N171" s="18"/>
      <c r="O171" s="18"/>
    </row>
    <row r="172" spans="1:15" s="17" customFormat="1" ht="21" customHeight="1">
      <c r="A172" s="18"/>
      <c r="D172" s="18"/>
      <c r="E172" s="18"/>
      <c r="F172" s="18"/>
      <c r="J172" s="18"/>
      <c r="K172" s="18"/>
      <c r="N172" s="18"/>
      <c r="O172" s="18"/>
    </row>
    <row r="173" spans="1:15" s="17" customFormat="1" ht="21" customHeight="1">
      <c r="A173" s="18"/>
      <c r="D173" s="18"/>
      <c r="E173" s="18"/>
      <c r="F173" s="18"/>
      <c r="J173" s="18"/>
      <c r="K173" s="18"/>
      <c r="N173" s="18"/>
      <c r="O173" s="18"/>
    </row>
    <row r="174" spans="1:15" s="17" customFormat="1" ht="21" customHeight="1">
      <c r="A174" s="18"/>
      <c r="D174" s="18"/>
      <c r="E174" s="18"/>
      <c r="F174" s="18"/>
      <c r="J174" s="18"/>
      <c r="K174" s="18"/>
      <c r="N174" s="18"/>
      <c r="O174" s="18"/>
    </row>
    <row r="175" spans="1:15" s="17" customFormat="1" ht="21" customHeight="1">
      <c r="A175" s="18"/>
      <c r="D175" s="18"/>
      <c r="E175" s="18"/>
      <c r="F175" s="18"/>
      <c r="J175" s="18"/>
      <c r="K175" s="18"/>
      <c r="N175" s="18"/>
      <c r="O175" s="18"/>
    </row>
    <row r="176" spans="1:15" s="17" customFormat="1" ht="21" customHeight="1">
      <c r="A176" s="18"/>
      <c r="D176" s="18"/>
      <c r="E176" s="18"/>
      <c r="F176" s="18"/>
      <c r="J176" s="18"/>
      <c r="K176" s="18"/>
      <c r="N176" s="18"/>
      <c r="O176" s="18"/>
    </row>
    <row r="177" spans="1:15" s="17" customFormat="1" ht="21" customHeight="1">
      <c r="A177" s="18"/>
      <c r="D177" s="18"/>
      <c r="E177" s="18"/>
      <c r="F177" s="18"/>
      <c r="J177" s="18"/>
      <c r="K177" s="18"/>
      <c r="N177" s="18"/>
      <c r="O177" s="18"/>
    </row>
    <row r="178" spans="1:15" s="17" customFormat="1" ht="21" customHeight="1">
      <c r="A178" s="18"/>
      <c r="D178" s="18"/>
      <c r="E178" s="18"/>
      <c r="F178" s="18"/>
      <c r="J178" s="18"/>
      <c r="K178" s="18"/>
      <c r="N178" s="18"/>
      <c r="O178" s="18"/>
    </row>
    <row r="179" spans="1:15" s="17" customFormat="1" ht="21" customHeight="1">
      <c r="A179" s="18"/>
      <c r="D179" s="18"/>
      <c r="E179" s="18"/>
      <c r="F179" s="18"/>
      <c r="J179" s="18"/>
      <c r="K179" s="18"/>
      <c r="N179" s="18"/>
      <c r="O179" s="18"/>
    </row>
    <row r="180" spans="1:15" s="17" customFormat="1" ht="21" customHeight="1">
      <c r="A180" s="18"/>
      <c r="D180" s="18"/>
      <c r="E180" s="18"/>
      <c r="F180" s="18"/>
      <c r="J180" s="18"/>
      <c r="K180" s="18"/>
      <c r="N180" s="18"/>
      <c r="O180" s="18"/>
    </row>
    <row r="181" spans="1:15" s="17" customFormat="1" ht="21" customHeight="1">
      <c r="A181" s="18"/>
      <c r="D181" s="18"/>
      <c r="E181" s="18"/>
      <c r="F181" s="18"/>
      <c r="J181" s="18"/>
      <c r="K181" s="18"/>
      <c r="N181" s="18"/>
      <c r="O181" s="18"/>
    </row>
    <row r="182" spans="1:15" s="17" customFormat="1" ht="21" customHeight="1">
      <c r="A182" s="18"/>
      <c r="D182" s="18"/>
      <c r="E182" s="18"/>
      <c r="F182" s="18"/>
      <c r="J182" s="18"/>
      <c r="K182" s="18"/>
      <c r="N182" s="18"/>
      <c r="O182" s="18"/>
    </row>
    <row r="183" spans="1:15" s="17" customFormat="1" ht="21" customHeight="1">
      <c r="A183" s="18"/>
      <c r="D183" s="18"/>
      <c r="E183" s="18"/>
      <c r="F183" s="18"/>
      <c r="J183" s="18"/>
      <c r="K183" s="18"/>
      <c r="N183" s="18"/>
      <c r="O183" s="18"/>
    </row>
    <row r="184" spans="1:15" s="17" customFormat="1" ht="21" customHeight="1">
      <c r="A184" s="18"/>
      <c r="D184" s="18"/>
      <c r="E184" s="18"/>
      <c r="F184" s="18"/>
      <c r="J184" s="18"/>
      <c r="K184" s="18"/>
      <c r="N184" s="18"/>
      <c r="O184" s="18"/>
    </row>
    <row r="185" spans="1:15" s="17" customFormat="1" ht="21" customHeight="1">
      <c r="A185" s="18"/>
      <c r="D185" s="18"/>
      <c r="E185" s="18"/>
      <c r="F185" s="18"/>
      <c r="J185" s="18"/>
      <c r="K185" s="18"/>
      <c r="N185" s="18"/>
      <c r="O185" s="18"/>
    </row>
    <row r="186" spans="1:15" s="17" customFormat="1" ht="21" customHeight="1">
      <c r="A186" s="18"/>
      <c r="D186" s="18"/>
      <c r="E186" s="18"/>
      <c r="F186" s="18"/>
      <c r="J186" s="18"/>
      <c r="K186" s="18"/>
      <c r="N186" s="18"/>
      <c r="O186" s="18"/>
    </row>
    <row r="187" spans="1:15" s="17" customFormat="1" ht="21" customHeight="1">
      <c r="A187" s="18"/>
      <c r="D187" s="18"/>
      <c r="E187" s="18"/>
      <c r="F187" s="18"/>
      <c r="J187" s="18"/>
      <c r="K187" s="18"/>
      <c r="N187" s="18"/>
      <c r="O187" s="18"/>
    </row>
    <row r="188" spans="1:15" s="17" customFormat="1" ht="21" customHeight="1">
      <c r="A188" s="18"/>
      <c r="D188" s="18"/>
      <c r="E188" s="18"/>
      <c r="F188" s="18"/>
      <c r="J188" s="18"/>
      <c r="K188" s="18"/>
      <c r="N188" s="18"/>
      <c r="O188" s="18"/>
    </row>
    <row r="189" spans="1:15" s="17" customFormat="1" ht="21" customHeight="1">
      <c r="A189" s="18"/>
      <c r="D189" s="18"/>
      <c r="E189" s="18"/>
      <c r="F189" s="18"/>
      <c r="J189" s="18"/>
      <c r="K189" s="18"/>
      <c r="N189" s="18"/>
      <c r="O189" s="18"/>
    </row>
    <row r="190" spans="1:15" s="17" customFormat="1" ht="21" customHeight="1">
      <c r="A190" s="18"/>
      <c r="D190" s="18"/>
      <c r="E190" s="18"/>
      <c r="F190" s="18"/>
      <c r="J190" s="18"/>
      <c r="K190" s="18"/>
      <c r="N190" s="18"/>
      <c r="O190" s="18"/>
    </row>
    <row r="191" spans="1:15" s="17" customFormat="1" ht="21" customHeight="1">
      <c r="A191" s="18"/>
      <c r="D191" s="18"/>
      <c r="E191" s="18"/>
      <c r="F191" s="18"/>
      <c r="J191" s="18"/>
      <c r="K191" s="18"/>
      <c r="N191" s="18"/>
      <c r="O191" s="18"/>
    </row>
    <row r="192" spans="1:15" s="17" customFormat="1" ht="21" customHeight="1">
      <c r="A192" s="18"/>
      <c r="D192" s="18"/>
      <c r="E192" s="18"/>
      <c r="F192" s="18"/>
      <c r="J192" s="18"/>
      <c r="K192" s="18"/>
      <c r="N192" s="18"/>
      <c r="O192" s="18"/>
    </row>
    <row r="193" spans="1:15" s="17" customFormat="1" ht="21" customHeight="1">
      <c r="A193" s="18"/>
      <c r="D193" s="18"/>
      <c r="E193" s="18"/>
      <c r="F193" s="18"/>
      <c r="J193" s="18"/>
      <c r="K193" s="18"/>
      <c r="N193" s="18"/>
      <c r="O193" s="18"/>
    </row>
    <row r="194" spans="1:15" s="17" customFormat="1" ht="21" customHeight="1">
      <c r="A194" s="18"/>
      <c r="D194" s="18"/>
      <c r="E194" s="18"/>
      <c r="F194" s="18"/>
      <c r="J194" s="18"/>
      <c r="K194" s="18"/>
      <c r="N194" s="18"/>
      <c r="O194" s="18"/>
    </row>
    <row r="195" spans="1:15" s="17" customFormat="1" ht="21" customHeight="1">
      <c r="A195" s="18"/>
      <c r="D195" s="18"/>
      <c r="E195" s="18"/>
      <c r="F195" s="18"/>
      <c r="J195" s="18"/>
      <c r="K195" s="18"/>
      <c r="N195" s="18"/>
      <c r="O195" s="18"/>
    </row>
    <row r="196" spans="1:15" s="17" customFormat="1" ht="21" customHeight="1">
      <c r="A196" s="18"/>
      <c r="D196" s="18"/>
      <c r="E196" s="18"/>
      <c r="F196" s="18"/>
      <c r="J196" s="18"/>
      <c r="K196" s="18"/>
      <c r="N196" s="18"/>
      <c r="O196" s="18"/>
    </row>
    <row r="197" spans="1:15" s="17" customFormat="1" ht="21" customHeight="1">
      <c r="A197" s="18"/>
      <c r="D197" s="18"/>
      <c r="E197" s="18"/>
      <c r="F197" s="18"/>
      <c r="J197" s="18"/>
      <c r="K197" s="18"/>
      <c r="N197" s="18"/>
      <c r="O197" s="18"/>
    </row>
    <row r="198" spans="1:15" s="17" customFormat="1" ht="21" customHeight="1">
      <c r="A198" s="18"/>
      <c r="D198" s="18"/>
      <c r="E198" s="18"/>
      <c r="F198" s="18"/>
      <c r="J198" s="18"/>
      <c r="K198" s="18"/>
      <c r="N198" s="18"/>
      <c r="O198" s="18"/>
    </row>
    <row r="199" spans="1:15" s="17" customFormat="1" ht="21" customHeight="1">
      <c r="A199" s="18"/>
      <c r="D199" s="18"/>
      <c r="E199" s="18"/>
      <c r="F199" s="18"/>
      <c r="J199" s="18"/>
      <c r="K199" s="18"/>
      <c r="N199" s="18"/>
      <c r="O199" s="18"/>
    </row>
    <row r="200" spans="1:15" s="17" customFormat="1" ht="21" customHeight="1">
      <c r="A200" s="18"/>
      <c r="D200" s="18"/>
      <c r="E200" s="18"/>
      <c r="F200" s="18"/>
      <c r="J200" s="18"/>
      <c r="K200" s="18"/>
      <c r="N200" s="18"/>
      <c r="O200" s="18"/>
    </row>
    <row r="201" spans="1:15" s="17" customFormat="1" ht="21" customHeight="1">
      <c r="A201" s="18"/>
      <c r="D201" s="18"/>
      <c r="E201" s="18"/>
      <c r="F201" s="18"/>
      <c r="J201" s="18"/>
      <c r="K201" s="18"/>
      <c r="N201" s="18"/>
      <c r="O201" s="18"/>
    </row>
    <row r="202" spans="1:15" s="17" customFormat="1" ht="21" customHeight="1">
      <c r="A202" s="18"/>
      <c r="D202" s="18"/>
      <c r="E202" s="18"/>
      <c r="F202" s="18"/>
      <c r="J202" s="18"/>
      <c r="K202" s="18"/>
      <c r="N202" s="18"/>
      <c r="O202" s="18"/>
    </row>
    <row r="203" spans="1:15" s="17" customFormat="1" ht="21" customHeight="1">
      <c r="A203" s="18"/>
      <c r="D203" s="18"/>
      <c r="E203" s="18"/>
      <c r="F203" s="18"/>
      <c r="J203" s="18"/>
      <c r="K203" s="18"/>
      <c r="N203" s="18"/>
      <c r="O203" s="18"/>
    </row>
    <row r="204" spans="1:15" s="17" customFormat="1" ht="21" customHeight="1">
      <c r="A204" s="18"/>
      <c r="D204" s="18"/>
      <c r="E204" s="18"/>
      <c r="F204" s="18"/>
      <c r="J204" s="18"/>
      <c r="K204" s="18"/>
      <c r="N204" s="18"/>
      <c r="O204" s="18"/>
    </row>
    <row r="205" spans="1:15" s="17" customFormat="1" ht="21" customHeight="1">
      <c r="A205" s="18"/>
      <c r="D205" s="18"/>
      <c r="E205" s="18"/>
      <c r="F205" s="18"/>
      <c r="J205" s="18"/>
      <c r="K205" s="18"/>
      <c r="N205" s="18"/>
      <c r="O205" s="18"/>
    </row>
    <row r="206" spans="1:15" s="17" customFormat="1" ht="21" customHeight="1">
      <c r="A206" s="18"/>
      <c r="D206" s="18"/>
      <c r="E206" s="18"/>
      <c r="F206" s="18"/>
      <c r="J206" s="18"/>
      <c r="K206" s="18"/>
      <c r="N206" s="18"/>
      <c r="O206" s="18"/>
    </row>
    <row r="207" spans="1:15" s="17" customFormat="1" ht="21" customHeight="1">
      <c r="A207" s="18"/>
      <c r="D207" s="18"/>
      <c r="E207" s="18"/>
      <c r="F207" s="18"/>
      <c r="J207" s="18"/>
      <c r="K207" s="18"/>
      <c r="N207" s="18"/>
      <c r="O207" s="18"/>
    </row>
    <row r="208" spans="1:15" s="17" customFormat="1" ht="21" customHeight="1">
      <c r="A208" s="18"/>
      <c r="D208" s="18"/>
      <c r="E208" s="18"/>
      <c r="F208" s="18"/>
      <c r="J208" s="18"/>
      <c r="K208" s="18"/>
      <c r="N208" s="18"/>
      <c r="O208" s="18"/>
    </row>
    <row r="209" spans="1:15" s="17" customFormat="1" ht="21" customHeight="1">
      <c r="A209" s="18"/>
      <c r="D209" s="18"/>
      <c r="E209" s="18"/>
      <c r="F209" s="18"/>
      <c r="J209" s="18"/>
      <c r="K209" s="18"/>
      <c r="N209" s="18"/>
      <c r="O209" s="18"/>
    </row>
  </sheetData>
  <mergeCells count="37">
    <mergeCell ref="N28:N29"/>
    <mergeCell ref="K30:K37"/>
    <mergeCell ref="B30:B37"/>
    <mergeCell ref="C30:C37"/>
    <mergeCell ref="D30:D37"/>
    <mergeCell ref="F30:F37"/>
    <mergeCell ref="K15:K16"/>
    <mergeCell ref="A28:A29"/>
    <mergeCell ref="B28:B29"/>
    <mergeCell ref="C28:C29"/>
    <mergeCell ref="D28:D29"/>
    <mergeCell ref="F28:F29"/>
    <mergeCell ref="A15:A16"/>
    <mergeCell ref="B15:B16"/>
    <mergeCell ref="C15:C16"/>
    <mergeCell ref="D15:D16"/>
    <mergeCell ref="E15:E16"/>
    <mergeCell ref="F15:F16"/>
    <mergeCell ref="G28:J28"/>
    <mergeCell ref="K28:M28"/>
    <mergeCell ref="K17:K18"/>
    <mergeCell ref="A1:N5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A30:A37"/>
    <mergeCell ref="G15:G16"/>
    <mergeCell ref="H15:H16"/>
  </mergeCells>
  <pageMargins left="0.118110236220472" right="0" top="0.118110236220472" bottom="0" header="0.31496062992126" footer="0.31496062992126"/>
  <pageSetup scale="7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A76D-9F2D-4F99-9D58-92F992B7DDF9}">
  <dimension ref="A1:Z83"/>
  <sheetViews>
    <sheetView workbookViewId="0">
      <selection activeCell="A7" sqref="A7:B7"/>
    </sheetView>
  </sheetViews>
  <sheetFormatPr defaultRowHeight="14.4"/>
  <cols>
    <col min="1" max="1" width="15.6640625" style="60" customWidth="1"/>
    <col min="2" max="2" width="54" customWidth="1"/>
    <col min="3" max="20" width="3.21875" customWidth="1"/>
    <col min="21" max="26" width="5.44140625" customWidth="1"/>
    <col min="28" max="28" width="15.44140625" customWidth="1"/>
  </cols>
  <sheetData>
    <row r="1" spans="1:26" ht="15" customHeight="1">
      <c r="A1" s="121" t="s">
        <v>67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45"/>
      <c r="X1" s="45"/>
      <c r="Y1" s="45"/>
      <c r="Z1" s="45"/>
    </row>
    <row r="2" spans="1:26" ht="15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45"/>
      <c r="X2" s="45"/>
      <c r="Y2" s="45"/>
      <c r="Z2" s="45"/>
    </row>
    <row r="3" spans="1:26" ht="15" customHeight="1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45"/>
      <c r="X3" s="45"/>
      <c r="Y3" s="45"/>
      <c r="Z3" s="45"/>
    </row>
    <row r="4" spans="1:26" ht="15" customHeight="1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45"/>
      <c r="X4" s="45"/>
      <c r="Y4" s="45"/>
      <c r="Z4" s="45"/>
    </row>
    <row r="5" spans="1:26" ht="15" customHeight="1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45"/>
      <c r="X5" s="45"/>
      <c r="Y5" s="45"/>
      <c r="Z5" s="45"/>
    </row>
    <row r="6" spans="1:26" ht="30">
      <c r="A6" s="122" t="s">
        <v>68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s="7" customFormat="1" ht="26.25" customHeight="1">
      <c r="A7" s="123" t="s">
        <v>68</v>
      </c>
      <c r="B7" s="123"/>
      <c r="C7" s="42" t="s">
        <v>69</v>
      </c>
      <c r="E7" s="18"/>
      <c r="F7" s="18"/>
      <c r="G7" s="124" t="str">
        <f>'ใบงาน Agilent_JOB 10'!F7</f>
        <v>xxxx</v>
      </c>
      <c r="H7" s="124"/>
      <c r="I7" s="124"/>
      <c r="J7" s="124"/>
      <c r="K7" s="124"/>
      <c r="L7" s="18"/>
      <c r="M7" s="18"/>
      <c r="N7" s="18"/>
      <c r="O7" s="18"/>
      <c r="P7" s="18"/>
      <c r="Q7" s="18"/>
      <c r="R7" s="18"/>
      <c r="S7" s="46" t="s">
        <v>57</v>
      </c>
      <c r="W7" s="35" t="str">
        <f>'ใบงาน Agilent_JOB 10'!M7</f>
        <v>xxxx</v>
      </c>
      <c r="X7" s="35"/>
      <c r="Y7" s="35"/>
      <c r="Z7" s="35"/>
    </row>
    <row r="8" spans="1:26" s="7" customFormat="1" ht="22.5" customHeight="1">
      <c r="A8" s="8" t="s">
        <v>70</v>
      </c>
      <c r="B8" s="47" t="str">
        <f>'ใบงาน Agilent_JOB 10'!F8</f>
        <v>K9801-60094</v>
      </c>
      <c r="C8" s="41" t="s">
        <v>71</v>
      </c>
      <c r="D8" s="41"/>
      <c r="E8" s="41"/>
      <c r="F8" s="41"/>
      <c r="G8" s="125" t="str">
        <f>'ใบงาน Agilent_JOB 10'!F9</f>
        <v>-</v>
      </c>
      <c r="H8" s="125"/>
      <c r="I8" s="125"/>
      <c r="J8" s="125"/>
      <c r="K8" s="41"/>
      <c r="L8" s="41"/>
      <c r="M8" s="41"/>
      <c r="N8" s="41"/>
      <c r="O8" s="41"/>
      <c r="P8" s="41"/>
      <c r="Q8" s="41"/>
      <c r="R8" s="41"/>
    </row>
    <row r="9" spans="1:26" s="7" customFormat="1" ht="19.95" customHeight="1">
      <c r="A9" s="8" t="s">
        <v>73</v>
      </c>
      <c r="B9" s="76">
        <f>'ใบงาน Agilent_JOB 10'!N8</f>
        <v>2000</v>
      </c>
      <c r="C9" s="18"/>
      <c r="D9" s="124" t="s">
        <v>3</v>
      </c>
      <c r="E9" s="124"/>
      <c r="F9" s="124"/>
      <c r="G9" s="126" t="s">
        <v>3</v>
      </c>
      <c r="H9" s="126"/>
      <c r="I9" s="126"/>
      <c r="J9" s="126"/>
      <c r="K9" s="42"/>
      <c r="L9" s="18"/>
      <c r="M9" s="18"/>
      <c r="N9" s="18"/>
      <c r="O9" s="18"/>
      <c r="P9" s="18"/>
      <c r="Q9" s="18"/>
      <c r="R9" s="18"/>
      <c r="S9" s="107" t="s">
        <v>72</v>
      </c>
      <c r="T9" s="107"/>
      <c r="U9" s="107"/>
      <c r="V9" s="107"/>
    </row>
    <row r="10" spans="1:26" s="7" customFormat="1" ht="23.7" customHeight="1">
      <c r="A10" s="18" t="s">
        <v>74</v>
      </c>
      <c r="B10" s="17"/>
      <c r="C10" s="18"/>
      <c r="D10" s="18"/>
      <c r="E10" s="18"/>
      <c r="F10" s="18"/>
      <c r="G10" s="126" t="s">
        <v>3</v>
      </c>
      <c r="H10" s="126"/>
      <c r="I10" s="126"/>
      <c r="J10" s="126"/>
      <c r="K10" s="18"/>
      <c r="L10" s="18"/>
      <c r="M10" s="18"/>
      <c r="N10" s="18"/>
      <c r="O10" s="18"/>
      <c r="P10" s="18"/>
      <c r="Q10" s="18"/>
      <c r="R10" s="18"/>
      <c r="S10" s="107"/>
      <c r="T10" s="107"/>
      <c r="U10" s="107"/>
      <c r="V10" s="107"/>
    </row>
    <row r="11" spans="1:26" s="7" customFormat="1" ht="13.8">
      <c r="A11" s="18"/>
      <c r="B11" s="17"/>
      <c r="C11" s="18"/>
      <c r="D11" s="18"/>
      <c r="E11" s="18"/>
      <c r="F11" s="18"/>
      <c r="G11" s="42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6" s="7" customFormat="1" ht="13.8">
      <c r="A12" s="135" t="s">
        <v>17</v>
      </c>
      <c r="B12" s="135" t="s">
        <v>75</v>
      </c>
      <c r="C12" s="127" t="s">
        <v>76</v>
      </c>
      <c r="D12" s="136"/>
      <c r="E12" s="136"/>
      <c r="F12" s="136"/>
      <c r="G12" s="136"/>
      <c r="H12" s="137"/>
      <c r="I12" s="127" t="s">
        <v>23</v>
      </c>
      <c r="J12" s="136"/>
      <c r="K12" s="136"/>
      <c r="L12" s="136"/>
      <c r="M12" s="136"/>
      <c r="N12" s="137"/>
      <c r="O12" s="127" t="s">
        <v>24</v>
      </c>
      <c r="P12" s="128"/>
      <c r="Q12" s="128"/>
      <c r="R12" s="128"/>
      <c r="S12" s="128"/>
      <c r="T12" s="129"/>
      <c r="U12" s="133" t="s">
        <v>77</v>
      </c>
      <c r="V12" s="133"/>
      <c r="W12" s="133"/>
      <c r="X12" s="133"/>
      <c r="Y12" s="133"/>
      <c r="Z12" s="133"/>
    </row>
    <row r="13" spans="1:26" s="7" customFormat="1" ht="13.8">
      <c r="A13" s="79"/>
      <c r="B13" s="135"/>
      <c r="C13" s="138"/>
      <c r="D13" s="139"/>
      <c r="E13" s="139"/>
      <c r="F13" s="139"/>
      <c r="G13" s="139"/>
      <c r="H13" s="140"/>
      <c r="I13" s="138"/>
      <c r="J13" s="139"/>
      <c r="K13" s="139"/>
      <c r="L13" s="139"/>
      <c r="M13" s="139"/>
      <c r="N13" s="140"/>
      <c r="O13" s="130"/>
      <c r="P13" s="131"/>
      <c r="Q13" s="131"/>
      <c r="R13" s="131"/>
      <c r="S13" s="131"/>
      <c r="T13" s="132"/>
      <c r="U13" s="133"/>
      <c r="V13" s="133"/>
      <c r="W13" s="133"/>
      <c r="X13" s="133"/>
      <c r="Y13" s="133"/>
      <c r="Z13" s="133"/>
    </row>
    <row r="14" spans="1:26" s="51" customFormat="1" ht="35.700000000000003" customHeight="1">
      <c r="A14" s="49">
        <v>1</v>
      </c>
      <c r="B14" s="50" t="s">
        <v>78</v>
      </c>
      <c r="C14" s="134"/>
      <c r="D14" s="134"/>
      <c r="E14" s="134"/>
      <c r="F14" s="134"/>
      <c r="G14" s="134"/>
      <c r="H14" s="134"/>
      <c r="I14" s="134" t="s">
        <v>3</v>
      </c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spans="1:26" s="51" customFormat="1" ht="22.5" customHeight="1">
      <c r="A15" s="141">
        <v>2</v>
      </c>
      <c r="B15" s="52" t="s">
        <v>79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26" s="51" customFormat="1" ht="22.5" customHeight="1">
      <c r="A16" s="142"/>
      <c r="B16" s="52" t="s">
        <v>80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s="51" customFormat="1" ht="22.5" customHeight="1">
      <c r="A17" s="142"/>
      <c r="B17" s="52" t="s">
        <v>81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s="51" customFormat="1" ht="22.5" customHeight="1">
      <c r="A18" s="142"/>
      <c r="B18" s="52" t="s">
        <v>82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s="51" customFormat="1" ht="22.5" customHeight="1">
      <c r="A19" s="143"/>
      <c r="B19" s="52" t="s">
        <v>83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s="51" customFormat="1" ht="22.5" customHeight="1">
      <c r="A20" s="49">
        <v>3</v>
      </c>
      <c r="B20" s="50" t="s">
        <v>84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s="51" customFormat="1" ht="22.5" customHeight="1">
      <c r="A21" s="49">
        <v>4</v>
      </c>
      <c r="B21" s="50" t="s">
        <v>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s="51" customFormat="1" ht="22.5" customHeight="1">
      <c r="A22" s="49">
        <v>5</v>
      </c>
      <c r="B22" s="50" t="s">
        <v>86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s="51" customFormat="1" ht="20.7" customHeight="1">
      <c r="A23" s="49">
        <v>6</v>
      </c>
      <c r="B23" s="50" t="s">
        <v>87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s="7" customFormat="1" ht="13.8">
      <c r="A24" s="8"/>
      <c r="C24" s="144"/>
      <c r="D24" s="144"/>
      <c r="E24" s="144"/>
      <c r="F24" s="144"/>
    </row>
    <row r="25" spans="1:26" s="7" customFormat="1" ht="15.6">
      <c r="A25" s="145" t="s">
        <v>88</v>
      </c>
      <c r="B25" s="145"/>
      <c r="C25" s="145"/>
      <c r="D25" s="145"/>
      <c r="E25" s="145"/>
      <c r="F25" s="145"/>
      <c r="G25" s="145"/>
      <c r="H25" s="145"/>
      <c r="I25" s="145"/>
      <c r="J25" s="145"/>
    </row>
    <row r="26" spans="1:26" s="53" customFormat="1" ht="15">
      <c r="A26" s="146" t="s">
        <v>89</v>
      </c>
      <c r="B26" s="147"/>
      <c r="C26" s="150" t="s">
        <v>90</v>
      </c>
      <c r="D26" s="150"/>
      <c r="E26" s="150"/>
      <c r="F26" s="150"/>
      <c r="G26" s="151" t="s">
        <v>91</v>
      </c>
      <c r="H26" s="152"/>
      <c r="I26" s="152"/>
      <c r="J26" s="153"/>
      <c r="L26" s="149" t="s">
        <v>3</v>
      </c>
      <c r="M26" s="149"/>
    </row>
    <row r="27" spans="1:26" s="53" customFormat="1" ht="15">
      <c r="A27" s="146" t="s">
        <v>92</v>
      </c>
      <c r="B27" s="147"/>
      <c r="C27" s="148">
        <v>10</v>
      </c>
      <c r="D27" s="148"/>
      <c r="E27" s="148"/>
      <c r="F27" s="148"/>
      <c r="G27" s="148">
        <v>10</v>
      </c>
      <c r="H27" s="148"/>
      <c r="I27" s="148"/>
      <c r="J27" s="148"/>
      <c r="L27" s="149"/>
      <c r="M27" s="149"/>
    </row>
    <row r="28" spans="1:26" s="53" customFormat="1" ht="15">
      <c r="A28" s="146" t="s">
        <v>93</v>
      </c>
      <c r="B28" s="147"/>
      <c r="C28" s="148">
        <v>20</v>
      </c>
      <c r="D28" s="148"/>
      <c r="E28" s="148"/>
      <c r="F28" s="148"/>
      <c r="G28" s="148">
        <v>20</v>
      </c>
      <c r="H28" s="148"/>
      <c r="I28" s="148"/>
      <c r="J28" s="148"/>
      <c r="L28" s="149"/>
      <c r="M28" s="149"/>
    </row>
    <row r="29" spans="1:26" s="53" customFormat="1" ht="15">
      <c r="A29" s="146" t="s">
        <v>94</v>
      </c>
      <c r="B29" s="147"/>
      <c r="C29" s="148">
        <v>30</v>
      </c>
      <c r="D29" s="148"/>
      <c r="E29" s="148"/>
      <c r="F29" s="148"/>
      <c r="G29" s="148">
        <v>30</v>
      </c>
      <c r="H29" s="148"/>
      <c r="I29" s="148"/>
      <c r="J29" s="148"/>
      <c r="L29" s="149"/>
      <c r="M29" s="149"/>
    </row>
    <row r="30" spans="1:26" s="53" customFormat="1" ht="15">
      <c r="A30" s="146" t="s">
        <v>95</v>
      </c>
      <c r="B30" s="147"/>
      <c r="C30" s="154">
        <v>40</v>
      </c>
      <c r="D30" s="155"/>
      <c r="E30" s="155"/>
      <c r="F30" s="156"/>
      <c r="G30" s="154">
        <v>40</v>
      </c>
      <c r="H30" s="155"/>
      <c r="I30" s="155"/>
      <c r="J30" s="156"/>
      <c r="L30" s="149"/>
      <c r="M30" s="149"/>
    </row>
    <row r="31" spans="1:26" s="53" customFormat="1" ht="15">
      <c r="A31" s="146" t="s">
        <v>96</v>
      </c>
      <c r="B31" s="147"/>
      <c r="C31" s="148">
        <v>50</v>
      </c>
      <c r="D31" s="148"/>
      <c r="E31" s="148"/>
      <c r="F31" s="148"/>
      <c r="G31" s="148">
        <v>50</v>
      </c>
      <c r="H31" s="148"/>
      <c r="I31" s="148"/>
      <c r="J31" s="148"/>
      <c r="L31" s="149"/>
      <c r="M31" s="149"/>
    </row>
    <row r="32" spans="1:26" s="53" customFormat="1" ht="15">
      <c r="A32" s="146" t="s">
        <v>97</v>
      </c>
      <c r="B32" s="147"/>
      <c r="C32" s="148">
        <v>100</v>
      </c>
      <c r="D32" s="148"/>
      <c r="E32" s="148"/>
      <c r="F32" s="148"/>
      <c r="G32" s="148">
        <v>100</v>
      </c>
      <c r="H32" s="148"/>
      <c r="I32" s="148"/>
      <c r="J32" s="148"/>
      <c r="L32" s="149"/>
      <c r="M32" s="149"/>
    </row>
    <row r="33" spans="1:26" s="53" customFormat="1" ht="15">
      <c r="A33" s="146" t="s">
        <v>98</v>
      </c>
      <c r="B33" s="147"/>
      <c r="C33" s="148">
        <v>200</v>
      </c>
      <c r="D33" s="148"/>
      <c r="E33" s="148"/>
      <c r="F33" s="148"/>
      <c r="G33" s="148">
        <v>200</v>
      </c>
      <c r="H33" s="148"/>
      <c r="I33" s="148"/>
      <c r="J33" s="148"/>
      <c r="L33" s="149"/>
      <c r="M33" s="149"/>
    </row>
    <row r="34" spans="1:26" s="53" customFormat="1" ht="15">
      <c r="A34" s="146" t="s">
        <v>99</v>
      </c>
      <c r="B34" s="147"/>
      <c r="C34" s="154" t="s">
        <v>100</v>
      </c>
      <c r="D34" s="155"/>
      <c r="E34" s="155"/>
      <c r="F34" s="155"/>
      <c r="G34" s="155"/>
      <c r="H34" s="155"/>
      <c r="I34" s="155"/>
      <c r="J34" s="156"/>
      <c r="L34" s="149"/>
      <c r="M34" s="149"/>
    </row>
    <row r="35" spans="1:26" s="53" customFormat="1" ht="15">
      <c r="A35" s="54"/>
      <c r="L35" s="149"/>
      <c r="M35" s="149"/>
    </row>
    <row r="36" spans="1:26" s="53" customFormat="1" ht="15">
      <c r="A36" s="54"/>
      <c r="L36" s="149"/>
      <c r="M36" s="149"/>
    </row>
    <row r="37" spans="1:26" s="53" customFormat="1" ht="15">
      <c r="A37" s="54"/>
      <c r="L37" s="54"/>
      <c r="M37" s="54"/>
    </row>
    <row r="38" spans="1:26" s="53" customFormat="1" ht="15">
      <c r="A38" s="54"/>
      <c r="L38" s="54"/>
      <c r="M38" s="54"/>
    </row>
    <row r="39" spans="1:26" s="7" customFormat="1" ht="13.8">
      <c r="A39" s="8"/>
      <c r="L39" s="144"/>
      <c r="M39" s="144"/>
    </row>
    <row r="40" spans="1:26" s="7" customFormat="1" ht="13.8">
      <c r="A40" s="8"/>
      <c r="L40" s="144"/>
      <c r="M40" s="144"/>
    </row>
    <row r="41" spans="1:26" s="7" customFormat="1" ht="13.8">
      <c r="A41" s="8"/>
      <c r="L41" s="144"/>
      <c r="M41" s="144"/>
    </row>
    <row r="42" spans="1:26" s="53" customFormat="1" ht="19.2" customHeight="1">
      <c r="A42" s="55" t="s">
        <v>101</v>
      </c>
      <c r="B42" s="56" t="s">
        <v>102</v>
      </c>
      <c r="C42" s="157" t="s">
        <v>103</v>
      </c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  <c r="O42" s="160" t="s">
        <v>104</v>
      </c>
      <c r="P42" s="161"/>
      <c r="Q42" s="161"/>
      <c r="R42" s="161"/>
      <c r="S42" s="162"/>
      <c r="T42" s="160" t="s">
        <v>105</v>
      </c>
      <c r="U42" s="161"/>
      <c r="V42" s="161"/>
      <c r="W42" s="162"/>
      <c r="X42" s="161" t="s">
        <v>106</v>
      </c>
      <c r="Y42" s="161"/>
      <c r="Z42" s="162"/>
    </row>
    <row r="43" spans="1:26" s="7" customFormat="1" ht="16.5" customHeight="1">
      <c r="A43" s="169" t="s">
        <v>107</v>
      </c>
      <c r="B43" s="55" t="s">
        <v>108</v>
      </c>
      <c r="C43" s="166" t="s">
        <v>109</v>
      </c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8"/>
      <c r="O43" s="163" t="s">
        <v>0</v>
      </c>
      <c r="P43" s="164"/>
      <c r="Q43" s="164"/>
      <c r="R43" s="164"/>
      <c r="S43" s="165"/>
      <c r="T43" s="163" t="s">
        <v>110</v>
      </c>
      <c r="U43" s="164"/>
      <c r="V43" s="164"/>
      <c r="W43" s="165"/>
      <c r="X43" s="163">
        <v>1</v>
      </c>
      <c r="Y43" s="164"/>
      <c r="Z43" s="165"/>
    </row>
    <row r="44" spans="1:26" s="7" customFormat="1" ht="16.5" customHeight="1">
      <c r="A44" s="170"/>
      <c r="B44" s="55" t="s">
        <v>111</v>
      </c>
      <c r="C44" s="166" t="s">
        <v>112</v>
      </c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8"/>
      <c r="O44" s="163" t="s">
        <v>0</v>
      </c>
      <c r="P44" s="164"/>
      <c r="Q44" s="164"/>
      <c r="R44" s="164"/>
      <c r="S44" s="165"/>
      <c r="T44" s="163" t="s">
        <v>113</v>
      </c>
      <c r="U44" s="164"/>
      <c r="V44" s="164"/>
      <c r="W44" s="165"/>
      <c r="X44" s="163">
        <v>1</v>
      </c>
      <c r="Y44" s="164"/>
      <c r="Z44" s="165"/>
    </row>
    <row r="45" spans="1:26" s="7" customFormat="1" ht="16.5" customHeight="1">
      <c r="A45" s="170"/>
      <c r="B45" s="55" t="s">
        <v>114</v>
      </c>
      <c r="C45" s="166" t="s">
        <v>115</v>
      </c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8"/>
      <c r="O45" s="163" t="s">
        <v>116</v>
      </c>
      <c r="P45" s="164"/>
      <c r="Q45" s="164"/>
      <c r="R45" s="164"/>
      <c r="S45" s="165"/>
      <c r="T45" s="163" t="s">
        <v>117</v>
      </c>
      <c r="U45" s="164"/>
      <c r="V45" s="164"/>
      <c r="W45" s="165"/>
      <c r="X45" s="163">
        <v>6</v>
      </c>
      <c r="Y45" s="164"/>
      <c r="Z45" s="165"/>
    </row>
    <row r="46" spans="1:26" s="7" customFormat="1" ht="16.5" customHeight="1">
      <c r="A46" s="170"/>
      <c r="B46" s="55" t="s">
        <v>118</v>
      </c>
      <c r="C46" s="166" t="s">
        <v>119</v>
      </c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8"/>
      <c r="O46" s="163" t="s">
        <v>120</v>
      </c>
      <c r="P46" s="164"/>
      <c r="Q46" s="164"/>
      <c r="R46" s="164"/>
      <c r="S46" s="165"/>
      <c r="T46" s="163" t="s">
        <v>121</v>
      </c>
      <c r="U46" s="164"/>
      <c r="V46" s="164"/>
      <c r="W46" s="165"/>
      <c r="X46" s="163">
        <v>6</v>
      </c>
      <c r="Y46" s="164"/>
      <c r="Z46" s="165"/>
    </row>
    <row r="47" spans="1:26" s="7" customFormat="1" ht="16.5" customHeight="1">
      <c r="A47" s="171"/>
      <c r="B47" s="55" t="s">
        <v>122</v>
      </c>
      <c r="C47" s="166" t="s">
        <v>123</v>
      </c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8"/>
      <c r="O47" s="163" t="s">
        <v>120</v>
      </c>
      <c r="P47" s="164"/>
      <c r="Q47" s="164"/>
      <c r="R47" s="164"/>
      <c r="S47" s="165"/>
      <c r="T47" s="163" t="s">
        <v>124</v>
      </c>
      <c r="U47" s="164"/>
      <c r="V47" s="164"/>
      <c r="W47" s="165"/>
      <c r="X47" s="163">
        <v>6</v>
      </c>
      <c r="Y47" s="164"/>
      <c r="Z47" s="165"/>
    </row>
    <row r="48" spans="1:26" s="7" customFormat="1" ht="16.5" customHeight="1">
      <c r="A48" s="172" t="s">
        <v>125</v>
      </c>
      <c r="B48" s="55" t="s">
        <v>126</v>
      </c>
      <c r="C48" s="166" t="s">
        <v>127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8"/>
      <c r="O48" s="163" t="s">
        <v>128</v>
      </c>
      <c r="P48" s="164"/>
      <c r="Q48" s="164"/>
      <c r="R48" s="164"/>
      <c r="S48" s="165"/>
      <c r="T48" s="163" t="s">
        <v>129</v>
      </c>
      <c r="U48" s="164"/>
      <c r="V48" s="164"/>
      <c r="W48" s="165"/>
      <c r="X48" s="163">
        <v>2</v>
      </c>
      <c r="Y48" s="164"/>
      <c r="Z48" s="165"/>
    </row>
    <row r="49" spans="1:26" s="7" customFormat="1" ht="16.5" customHeight="1">
      <c r="A49" s="173"/>
      <c r="B49" s="55" t="s">
        <v>130</v>
      </c>
      <c r="C49" s="166" t="s">
        <v>131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8"/>
      <c r="O49" s="163" t="s">
        <v>132</v>
      </c>
      <c r="P49" s="164"/>
      <c r="Q49" s="164"/>
      <c r="R49" s="164"/>
      <c r="S49" s="165"/>
      <c r="T49" s="163" t="s">
        <v>133</v>
      </c>
      <c r="U49" s="164"/>
      <c r="V49" s="164"/>
      <c r="W49" s="165"/>
      <c r="X49" s="163">
        <v>1</v>
      </c>
      <c r="Y49" s="164"/>
      <c r="Z49" s="165"/>
    </row>
    <row r="50" spans="1:26" s="7" customFormat="1" ht="16.5" customHeight="1">
      <c r="A50" s="172" t="s">
        <v>134</v>
      </c>
      <c r="B50" s="55" t="s">
        <v>135</v>
      </c>
      <c r="C50" s="166" t="s">
        <v>136</v>
      </c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8"/>
      <c r="O50" s="163" t="s">
        <v>137</v>
      </c>
      <c r="P50" s="164"/>
      <c r="Q50" s="164"/>
      <c r="R50" s="164"/>
      <c r="S50" s="165"/>
      <c r="T50" s="163" t="s">
        <v>138</v>
      </c>
      <c r="U50" s="164"/>
      <c r="V50" s="164"/>
      <c r="W50" s="165"/>
      <c r="X50" s="163">
        <v>1</v>
      </c>
      <c r="Y50" s="164"/>
      <c r="Z50" s="165"/>
    </row>
    <row r="51" spans="1:26" s="7" customFormat="1" ht="16.5" customHeight="1">
      <c r="A51" s="174"/>
      <c r="B51" s="55" t="s">
        <v>139</v>
      </c>
      <c r="C51" s="166" t="s">
        <v>140</v>
      </c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8"/>
      <c r="O51" s="163" t="s">
        <v>137</v>
      </c>
      <c r="P51" s="164"/>
      <c r="Q51" s="164"/>
      <c r="R51" s="164"/>
      <c r="S51" s="165"/>
      <c r="T51" s="163" t="s">
        <v>141</v>
      </c>
      <c r="U51" s="164"/>
      <c r="V51" s="164"/>
      <c r="W51" s="165"/>
      <c r="X51" s="163">
        <v>4</v>
      </c>
      <c r="Y51" s="164"/>
      <c r="Z51" s="165"/>
    </row>
    <row r="52" spans="1:26" s="7" customFormat="1" ht="16.5" customHeight="1">
      <c r="A52" s="174"/>
      <c r="B52" s="55" t="s">
        <v>142</v>
      </c>
      <c r="C52" s="166" t="s">
        <v>143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8"/>
      <c r="O52" s="163" t="s">
        <v>0</v>
      </c>
      <c r="P52" s="164"/>
      <c r="Q52" s="164"/>
      <c r="R52" s="164"/>
      <c r="S52" s="165"/>
      <c r="T52" s="163" t="s">
        <v>144</v>
      </c>
      <c r="U52" s="164"/>
      <c r="V52" s="164"/>
      <c r="W52" s="165"/>
      <c r="X52" s="163">
        <v>1</v>
      </c>
      <c r="Y52" s="164"/>
      <c r="Z52" s="165"/>
    </row>
    <row r="53" spans="1:26" s="7" customFormat="1" ht="16.5" customHeight="1">
      <c r="A53" s="173"/>
      <c r="B53" s="55" t="s">
        <v>145</v>
      </c>
      <c r="C53" s="166" t="s">
        <v>146</v>
      </c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8"/>
      <c r="O53" s="163" t="s">
        <v>0</v>
      </c>
      <c r="P53" s="164"/>
      <c r="Q53" s="164"/>
      <c r="R53" s="164"/>
      <c r="S53" s="165"/>
      <c r="T53" s="163" t="s">
        <v>147</v>
      </c>
      <c r="U53" s="164"/>
      <c r="V53" s="164"/>
      <c r="W53" s="165"/>
      <c r="X53" s="163">
        <v>1</v>
      </c>
      <c r="Y53" s="164"/>
      <c r="Z53" s="165"/>
    </row>
    <row r="54" spans="1:26" s="7" customFormat="1" ht="16.5" customHeight="1">
      <c r="A54" s="175" t="s">
        <v>148</v>
      </c>
      <c r="B54" s="55" t="s">
        <v>149</v>
      </c>
      <c r="C54" s="166" t="s">
        <v>150</v>
      </c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8"/>
      <c r="O54" s="163" t="s">
        <v>151</v>
      </c>
      <c r="P54" s="164"/>
      <c r="Q54" s="164"/>
      <c r="R54" s="164"/>
      <c r="S54" s="165"/>
      <c r="T54" s="163" t="s">
        <v>152</v>
      </c>
      <c r="U54" s="164"/>
      <c r="V54" s="164"/>
      <c r="W54" s="165"/>
      <c r="X54" s="163">
        <v>1</v>
      </c>
      <c r="Y54" s="164"/>
      <c r="Z54" s="165"/>
    </row>
    <row r="55" spans="1:26" s="7" customFormat="1" ht="16.5" customHeight="1">
      <c r="A55" s="176"/>
      <c r="B55" s="55" t="s">
        <v>153</v>
      </c>
      <c r="C55" s="166" t="s">
        <v>154</v>
      </c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8"/>
      <c r="O55" s="163" t="s">
        <v>137</v>
      </c>
      <c r="P55" s="164"/>
      <c r="Q55" s="164"/>
      <c r="R55" s="164"/>
      <c r="S55" s="165"/>
      <c r="T55" s="163" t="s">
        <v>155</v>
      </c>
      <c r="U55" s="164"/>
      <c r="V55" s="164"/>
      <c r="W55" s="165"/>
      <c r="X55" s="163">
        <v>2</v>
      </c>
      <c r="Y55" s="164"/>
      <c r="Z55" s="165"/>
    </row>
    <row r="56" spans="1:26" s="7" customFormat="1" ht="16.5" customHeight="1">
      <c r="A56" s="176"/>
      <c r="B56" s="55" t="s">
        <v>156</v>
      </c>
      <c r="C56" s="166" t="s">
        <v>157</v>
      </c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8"/>
      <c r="O56" s="163" t="s">
        <v>137</v>
      </c>
      <c r="P56" s="164"/>
      <c r="Q56" s="164"/>
      <c r="R56" s="164"/>
      <c r="S56" s="165"/>
      <c r="T56" s="163" t="s">
        <v>158</v>
      </c>
      <c r="U56" s="164"/>
      <c r="V56" s="164"/>
      <c r="W56" s="165"/>
      <c r="X56" s="163">
        <v>2</v>
      </c>
      <c r="Y56" s="164"/>
      <c r="Z56" s="165"/>
    </row>
    <row r="57" spans="1:26" s="7" customFormat="1" ht="16.5" customHeight="1">
      <c r="A57" s="176"/>
      <c r="B57" s="55" t="s">
        <v>159</v>
      </c>
      <c r="C57" s="166" t="s">
        <v>160</v>
      </c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8"/>
      <c r="O57" s="163" t="s">
        <v>137</v>
      </c>
      <c r="P57" s="164"/>
      <c r="Q57" s="164"/>
      <c r="R57" s="164"/>
      <c r="S57" s="165"/>
      <c r="T57" s="163" t="s">
        <v>161</v>
      </c>
      <c r="U57" s="164"/>
      <c r="V57" s="164"/>
      <c r="W57" s="165"/>
      <c r="X57" s="163">
        <v>2</v>
      </c>
      <c r="Y57" s="164"/>
      <c r="Z57" s="165"/>
    </row>
    <row r="58" spans="1:26" s="7" customFormat="1" ht="16.5" customHeight="1">
      <c r="A58" s="177"/>
      <c r="B58" s="55" t="s">
        <v>162</v>
      </c>
      <c r="C58" s="166" t="s">
        <v>163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8"/>
      <c r="O58" s="163" t="s">
        <v>137</v>
      </c>
      <c r="P58" s="164"/>
      <c r="Q58" s="164"/>
      <c r="R58" s="164"/>
      <c r="S58" s="165"/>
      <c r="T58" s="163" t="s">
        <v>164</v>
      </c>
      <c r="U58" s="164"/>
      <c r="V58" s="164"/>
      <c r="W58" s="165"/>
      <c r="X58" s="163">
        <v>22</v>
      </c>
      <c r="Y58" s="164"/>
      <c r="Z58" s="165"/>
    </row>
    <row r="59" spans="1:26" s="7" customFormat="1" ht="16.5" customHeight="1">
      <c r="A59" s="57" t="s">
        <v>165</v>
      </c>
      <c r="B59" s="55" t="s">
        <v>166</v>
      </c>
      <c r="C59" s="166" t="s">
        <v>167</v>
      </c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8"/>
      <c r="O59" s="163" t="s">
        <v>137</v>
      </c>
      <c r="P59" s="164"/>
      <c r="Q59" s="164"/>
      <c r="R59" s="164"/>
      <c r="S59" s="165"/>
      <c r="T59" s="163" t="s">
        <v>168</v>
      </c>
      <c r="U59" s="164"/>
      <c r="V59" s="164"/>
      <c r="W59" s="165"/>
      <c r="X59" s="163">
        <v>8</v>
      </c>
      <c r="Y59" s="164"/>
      <c r="Z59" s="165"/>
    </row>
    <row r="60" spans="1:26" s="7" customFormat="1" ht="16.5" customHeight="1">
      <c r="A60" s="57" t="s">
        <v>169</v>
      </c>
      <c r="B60" s="55" t="s">
        <v>170</v>
      </c>
      <c r="C60" s="166" t="s">
        <v>119</v>
      </c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8"/>
      <c r="O60" s="163" t="s">
        <v>0</v>
      </c>
      <c r="P60" s="164"/>
      <c r="Q60" s="164"/>
      <c r="R60" s="164"/>
      <c r="S60" s="165"/>
      <c r="T60" s="163" t="s">
        <v>171</v>
      </c>
      <c r="U60" s="164"/>
      <c r="V60" s="164"/>
      <c r="W60" s="165"/>
      <c r="X60" s="163">
        <v>1</v>
      </c>
      <c r="Y60" s="164"/>
      <c r="Z60" s="165"/>
    </row>
    <row r="61" spans="1:26" s="7" customFormat="1" ht="16.5" customHeight="1">
      <c r="A61" s="178" t="s">
        <v>172</v>
      </c>
      <c r="B61" s="55" t="s">
        <v>173</v>
      </c>
      <c r="C61" s="166" t="s">
        <v>154</v>
      </c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8"/>
      <c r="O61" s="163" t="s">
        <v>137</v>
      </c>
      <c r="P61" s="164"/>
      <c r="Q61" s="164"/>
      <c r="R61" s="164"/>
      <c r="S61" s="165"/>
      <c r="T61" s="163" t="s">
        <v>155</v>
      </c>
      <c r="U61" s="164"/>
      <c r="V61" s="164"/>
      <c r="W61" s="165"/>
      <c r="X61" s="163">
        <v>2</v>
      </c>
      <c r="Y61" s="164"/>
      <c r="Z61" s="165"/>
    </row>
    <row r="62" spans="1:26" s="7" customFormat="1" ht="16.5" customHeight="1">
      <c r="A62" s="179"/>
      <c r="B62" s="55" t="s">
        <v>174</v>
      </c>
      <c r="C62" s="166" t="s">
        <v>175</v>
      </c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8"/>
      <c r="O62" s="163" t="s">
        <v>137</v>
      </c>
      <c r="P62" s="164"/>
      <c r="Q62" s="164"/>
      <c r="R62" s="164"/>
      <c r="S62" s="165"/>
      <c r="T62" s="163" t="s">
        <v>176</v>
      </c>
      <c r="U62" s="164"/>
      <c r="V62" s="164"/>
      <c r="W62" s="165"/>
      <c r="X62" s="163">
        <v>1</v>
      </c>
      <c r="Y62" s="164"/>
      <c r="Z62" s="165"/>
    </row>
    <row r="63" spans="1:26" s="7" customFormat="1" ht="16.5" customHeight="1">
      <c r="A63" s="57" t="s">
        <v>177</v>
      </c>
      <c r="B63" s="55" t="s">
        <v>178</v>
      </c>
      <c r="C63" s="166" t="s">
        <v>123</v>
      </c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8"/>
      <c r="O63" s="163" t="s">
        <v>120</v>
      </c>
      <c r="P63" s="164"/>
      <c r="Q63" s="164"/>
      <c r="R63" s="164"/>
      <c r="S63" s="165"/>
      <c r="T63" s="163" t="s">
        <v>124</v>
      </c>
      <c r="U63" s="164"/>
      <c r="V63" s="164"/>
      <c r="W63" s="165"/>
      <c r="X63" s="163">
        <v>1</v>
      </c>
      <c r="Y63" s="164"/>
      <c r="Z63" s="165"/>
    </row>
    <row r="64" spans="1:26" s="7" customFormat="1" ht="16.5" customHeight="1">
      <c r="A64" s="57" t="s">
        <v>179</v>
      </c>
      <c r="B64" s="55" t="s">
        <v>180</v>
      </c>
      <c r="C64" s="166" t="s">
        <v>150</v>
      </c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8"/>
      <c r="O64" s="163" t="s">
        <v>151</v>
      </c>
      <c r="P64" s="164"/>
      <c r="Q64" s="164"/>
      <c r="R64" s="164"/>
      <c r="S64" s="165"/>
      <c r="T64" s="163" t="s">
        <v>152</v>
      </c>
      <c r="U64" s="164"/>
      <c r="V64" s="164"/>
      <c r="W64" s="165"/>
      <c r="X64" s="163">
        <v>1</v>
      </c>
      <c r="Y64" s="164"/>
      <c r="Z64" s="165"/>
    </row>
    <row r="65" spans="1:26" s="7" customFormat="1" ht="16.5" customHeight="1">
      <c r="A65" s="57" t="s">
        <v>181</v>
      </c>
      <c r="B65" s="55" t="s">
        <v>182</v>
      </c>
      <c r="C65" s="166" t="s">
        <v>109</v>
      </c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8"/>
      <c r="O65" s="163" t="s">
        <v>0</v>
      </c>
      <c r="P65" s="164"/>
      <c r="Q65" s="164"/>
      <c r="R65" s="164"/>
      <c r="S65" s="165"/>
      <c r="T65" s="163" t="s">
        <v>45</v>
      </c>
      <c r="U65" s="164"/>
      <c r="V65" s="164"/>
      <c r="W65" s="165"/>
      <c r="X65" s="163">
        <v>1</v>
      </c>
      <c r="Y65" s="164"/>
      <c r="Z65" s="165"/>
    </row>
    <row r="66" spans="1:26" s="7" customFormat="1" ht="16.5" customHeight="1">
      <c r="A66" s="57" t="s">
        <v>183</v>
      </c>
      <c r="B66" s="55" t="s">
        <v>184</v>
      </c>
      <c r="C66" s="166" t="s">
        <v>143</v>
      </c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8"/>
      <c r="O66" s="163" t="s">
        <v>0</v>
      </c>
      <c r="P66" s="164"/>
      <c r="Q66" s="164"/>
      <c r="R66" s="164"/>
      <c r="S66" s="165"/>
      <c r="T66" s="163" t="s">
        <v>144</v>
      </c>
      <c r="U66" s="164"/>
      <c r="V66" s="164"/>
      <c r="W66" s="165"/>
      <c r="X66" s="163">
        <v>1</v>
      </c>
      <c r="Y66" s="164"/>
      <c r="Z66" s="165"/>
    </row>
    <row r="67" spans="1:26" s="7" customFormat="1" ht="16.5" customHeight="1">
      <c r="A67" s="57" t="s">
        <v>185</v>
      </c>
      <c r="B67" s="55" t="s">
        <v>186</v>
      </c>
      <c r="C67" s="166" t="s">
        <v>187</v>
      </c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8"/>
      <c r="O67" s="163" t="s">
        <v>120</v>
      </c>
      <c r="P67" s="164"/>
      <c r="Q67" s="164"/>
      <c r="R67" s="164"/>
      <c r="S67" s="165"/>
      <c r="T67" s="163" t="s">
        <v>121</v>
      </c>
      <c r="U67" s="164"/>
      <c r="V67" s="164"/>
      <c r="W67" s="165"/>
      <c r="X67" s="163">
        <v>6</v>
      </c>
      <c r="Y67" s="164"/>
      <c r="Z67" s="165"/>
    </row>
    <row r="68" spans="1:26" s="7" customFormat="1" ht="16.5" customHeight="1">
      <c r="A68" s="55">
        <v>13</v>
      </c>
      <c r="B68" s="55" t="s">
        <v>188</v>
      </c>
      <c r="C68" s="180" t="s">
        <v>51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2"/>
      <c r="O68" s="183" t="s">
        <v>0</v>
      </c>
      <c r="P68" s="184"/>
      <c r="Q68" s="184"/>
      <c r="R68" s="184"/>
      <c r="S68" s="185"/>
      <c r="T68" s="163" t="s">
        <v>110</v>
      </c>
      <c r="U68" s="164"/>
      <c r="V68" s="164"/>
      <c r="W68" s="165"/>
      <c r="X68" s="163">
        <v>1</v>
      </c>
      <c r="Y68" s="164"/>
      <c r="Z68" s="165"/>
    </row>
    <row r="69" spans="1:26" s="7" customFormat="1" ht="16.5" customHeight="1">
      <c r="A69" s="55" t="s">
        <v>3</v>
      </c>
      <c r="B69" s="55" t="s">
        <v>189</v>
      </c>
      <c r="C69" s="180" t="s">
        <v>190</v>
      </c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2"/>
      <c r="O69" s="183" t="s">
        <v>0</v>
      </c>
      <c r="P69" s="184"/>
      <c r="Q69" s="184"/>
      <c r="R69" s="184"/>
      <c r="S69" s="185"/>
      <c r="T69" s="163" t="s">
        <v>113</v>
      </c>
      <c r="U69" s="164"/>
      <c r="V69" s="164"/>
      <c r="W69" s="165"/>
      <c r="X69" s="163">
        <v>1</v>
      </c>
      <c r="Y69" s="164"/>
      <c r="Z69" s="165"/>
    </row>
    <row r="70" spans="1:26" s="7" customFormat="1" ht="16.5" customHeight="1">
      <c r="A70" s="55" t="s">
        <v>3</v>
      </c>
      <c r="B70" s="55" t="s">
        <v>191</v>
      </c>
      <c r="C70" s="180" t="s">
        <v>192</v>
      </c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2"/>
      <c r="O70" s="183" t="s">
        <v>116</v>
      </c>
      <c r="P70" s="184"/>
      <c r="Q70" s="184"/>
      <c r="R70" s="184"/>
      <c r="S70" s="185"/>
      <c r="T70" s="163" t="s">
        <v>117</v>
      </c>
      <c r="U70" s="164"/>
      <c r="V70" s="164"/>
      <c r="W70" s="165"/>
      <c r="X70" s="163">
        <v>6</v>
      </c>
      <c r="Y70" s="164"/>
      <c r="Z70" s="165"/>
    </row>
    <row r="71" spans="1:26" s="7" customFormat="1" ht="16.5" customHeight="1">
      <c r="A71" s="55" t="s">
        <v>3</v>
      </c>
      <c r="B71" s="55" t="s">
        <v>193</v>
      </c>
      <c r="C71" s="180" t="s">
        <v>194</v>
      </c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2"/>
      <c r="O71" s="183" t="s">
        <v>120</v>
      </c>
      <c r="P71" s="184"/>
      <c r="Q71" s="184"/>
      <c r="R71" s="184"/>
      <c r="S71" s="185"/>
      <c r="T71" s="163" t="s">
        <v>121</v>
      </c>
      <c r="U71" s="164"/>
      <c r="V71" s="164"/>
      <c r="W71" s="165"/>
      <c r="X71" s="163">
        <v>6</v>
      </c>
      <c r="Y71" s="164"/>
      <c r="Z71" s="165"/>
    </row>
    <row r="72" spans="1:26" s="7" customFormat="1" ht="16.5" customHeight="1">
      <c r="A72" s="55" t="s">
        <v>3</v>
      </c>
      <c r="B72" s="55" t="s">
        <v>195</v>
      </c>
      <c r="C72" s="180" t="s">
        <v>196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2"/>
      <c r="O72" s="183" t="s">
        <v>120</v>
      </c>
      <c r="P72" s="184"/>
      <c r="Q72" s="184"/>
      <c r="R72" s="184"/>
      <c r="S72" s="185"/>
      <c r="T72" s="163" t="s">
        <v>124</v>
      </c>
      <c r="U72" s="164"/>
      <c r="V72" s="164"/>
      <c r="W72" s="165"/>
      <c r="X72" s="163">
        <v>6</v>
      </c>
      <c r="Y72" s="164"/>
      <c r="Z72" s="165"/>
    </row>
    <row r="73" spans="1:26" s="7" customFormat="1" ht="16.5" customHeight="1">
      <c r="A73" s="55">
        <v>14</v>
      </c>
      <c r="B73" s="10" t="s">
        <v>197</v>
      </c>
      <c r="C73" s="180" t="s">
        <v>198</v>
      </c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5"/>
      <c r="O73" s="183" t="s">
        <v>137</v>
      </c>
      <c r="P73" s="184"/>
      <c r="Q73" s="184"/>
      <c r="R73" s="184"/>
      <c r="S73" s="185"/>
      <c r="T73" s="163" t="s">
        <v>138</v>
      </c>
      <c r="U73" s="164"/>
      <c r="V73" s="164"/>
      <c r="W73" s="165"/>
      <c r="X73" s="186">
        <v>1</v>
      </c>
      <c r="Y73" s="187"/>
      <c r="Z73" s="188"/>
    </row>
    <row r="74" spans="1:26" s="7" customFormat="1" ht="16.5" customHeight="1">
      <c r="A74" s="55" t="s">
        <v>3</v>
      </c>
      <c r="B74" s="10" t="s">
        <v>199</v>
      </c>
      <c r="C74" s="180" t="s">
        <v>200</v>
      </c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5"/>
      <c r="O74" s="183" t="s">
        <v>137</v>
      </c>
      <c r="P74" s="184"/>
      <c r="Q74" s="184"/>
      <c r="R74" s="184"/>
      <c r="S74" s="185"/>
      <c r="T74" s="163" t="s">
        <v>141</v>
      </c>
      <c r="U74" s="164"/>
      <c r="V74" s="164"/>
      <c r="W74" s="165"/>
      <c r="X74" s="186">
        <v>4</v>
      </c>
      <c r="Y74" s="187"/>
      <c r="Z74" s="188"/>
    </row>
    <row r="75" spans="1:26" s="7" customFormat="1" ht="16.5" customHeight="1">
      <c r="A75" s="55" t="s">
        <v>3</v>
      </c>
      <c r="B75" s="10" t="s">
        <v>201</v>
      </c>
      <c r="C75" s="180" t="s">
        <v>202</v>
      </c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5"/>
      <c r="O75" s="183" t="s">
        <v>0</v>
      </c>
      <c r="P75" s="184"/>
      <c r="Q75" s="184"/>
      <c r="R75" s="184"/>
      <c r="S75" s="185"/>
      <c r="T75" s="163" t="s">
        <v>144</v>
      </c>
      <c r="U75" s="164"/>
      <c r="V75" s="164"/>
      <c r="W75" s="165"/>
      <c r="X75" s="186">
        <v>1</v>
      </c>
      <c r="Y75" s="187"/>
      <c r="Z75" s="188"/>
    </row>
    <row r="76" spans="1:26" s="7" customFormat="1" ht="16.5" customHeight="1">
      <c r="A76" s="55" t="s">
        <v>3</v>
      </c>
      <c r="B76" s="10" t="s">
        <v>203</v>
      </c>
      <c r="C76" s="180" t="s">
        <v>204</v>
      </c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5"/>
      <c r="O76" s="183" t="s">
        <v>0</v>
      </c>
      <c r="P76" s="184"/>
      <c r="Q76" s="184"/>
      <c r="R76" s="184"/>
      <c r="S76" s="185"/>
      <c r="T76" s="163" t="s">
        <v>147</v>
      </c>
      <c r="U76" s="164"/>
      <c r="V76" s="164"/>
      <c r="W76" s="165"/>
      <c r="X76" s="186">
        <v>1</v>
      </c>
      <c r="Y76" s="187"/>
      <c r="Z76" s="188"/>
    </row>
    <row r="77" spans="1:26" s="7" customFormat="1" ht="16.5" customHeight="1">
      <c r="A77" s="55">
        <v>15</v>
      </c>
      <c r="B77" s="55" t="s">
        <v>205</v>
      </c>
      <c r="C77" s="180" t="s">
        <v>206</v>
      </c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5"/>
      <c r="O77" s="163" t="s">
        <v>151</v>
      </c>
      <c r="P77" s="164"/>
      <c r="Q77" s="164"/>
      <c r="R77" s="164"/>
      <c r="S77" s="165"/>
      <c r="T77" s="163" t="s">
        <v>152</v>
      </c>
      <c r="U77" s="164"/>
      <c r="V77" s="164"/>
      <c r="W77" s="165"/>
      <c r="X77" s="163">
        <v>1</v>
      </c>
      <c r="Y77" s="164"/>
      <c r="Z77" s="165"/>
    </row>
    <row r="78" spans="1:26" s="7" customFormat="1" ht="16.5" customHeight="1">
      <c r="A78" s="55" t="s">
        <v>3</v>
      </c>
      <c r="B78" s="55" t="s">
        <v>207</v>
      </c>
      <c r="C78" s="180" t="s">
        <v>208</v>
      </c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5"/>
      <c r="O78" s="183" t="s">
        <v>137</v>
      </c>
      <c r="P78" s="184"/>
      <c r="Q78" s="184"/>
      <c r="R78" s="184"/>
      <c r="S78" s="185"/>
      <c r="T78" s="163" t="s">
        <v>155</v>
      </c>
      <c r="U78" s="164"/>
      <c r="V78" s="164"/>
      <c r="W78" s="165"/>
      <c r="X78" s="163">
        <v>2</v>
      </c>
      <c r="Y78" s="164"/>
      <c r="Z78" s="165"/>
    </row>
    <row r="79" spans="1:26" s="7" customFormat="1" ht="16.5" customHeight="1">
      <c r="A79" s="55" t="s">
        <v>3</v>
      </c>
      <c r="B79" s="55" t="s">
        <v>209</v>
      </c>
      <c r="C79" s="180" t="s">
        <v>210</v>
      </c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5"/>
      <c r="O79" s="183" t="s">
        <v>137</v>
      </c>
      <c r="P79" s="184"/>
      <c r="Q79" s="184"/>
      <c r="R79" s="184"/>
      <c r="S79" s="185"/>
      <c r="T79" s="163" t="s">
        <v>158</v>
      </c>
      <c r="U79" s="164"/>
      <c r="V79" s="164"/>
      <c r="W79" s="165"/>
      <c r="X79" s="163">
        <v>2</v>
      </c>
      <c r="Y79" s="164"/>
      <c r="Z79" s="165"/>
    </row>
    <row r="80" spans="1:26" s="7" customFormat="1" ht="16.5" customHeight="1">
      <c r="A80" s="55" t="s">
        <v>3</v>
      </c>
      <c r="B80" s="55" t="s">
        <v>211</v>
      </c>
      <c r="C80" s="180" t="s">
        <v>212</v>
      </c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5"/>
      <c r="O80" s="183" t="s">
        <v>137</v>
      </c>
      <c r="P80" s="184"/>
      <c r="Q80" s="184"/>
      <c r="R80" s="184"/>
      <c r="S80" s="185"/>
      <c r="T80" s="163" t="s">
        <v>161</v>
      </c>
      <c r="U80" s="164"/>
      <c r="V80" s="164"/>
      <c r="W80" s="165"/>
      <c r="X80" s="163">
        <v>2</v>
      </c>
      <c r="Y80" s="164"/>
      <c r="Z80" s="165"/>
    </row>
    <row r="81" spans="1:26" s="7" customFormat="1" ht="16.5" customHeight="1">
      <c r="A81" s="55" t="s">
        <v>3</v>
      </c>
      <c r="B81" s="55" t="s">
        <v>213</v>
      </c>
      <c r="C81" s="180" t="s">
        <v>214</v>
      </c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5"/>
      <c r="O81" s="183" t="s">
        <v>137</v>
      </c>
      <c r="P81" s="184"/>
      <c r="Q81" s="184"/>
      <c r="R81" s="184"/>
      <c r="S81" s="185"/>
      <c r="T81" s="163" t="s">
        <v>164</v>
      </c>
      <c r="U81" s="164"/>
      <c r="V81" s="164"/>
      <c r="W81" s="165"/>
      <c r="X81" s="163">
        <v>2</v>
      </c>
      <c r="Y81" s="164"/>
      <c r="Z81" s="165"/>
    </row>
    <row r="82" spans="1:26" s="7" customFormat="1" ht="20.399999999999999" customHeight="1">
      <c r="A82" s="8" t="s">
        <v>3</v>
      </c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 spans="1:26" ht="15.6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</sheetData>
  <mergeCells count="267"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L40:M40"/>
    <mergeCell ref="L41:M41"/>
    <mergeCell ref="C42:N42"/>
    <mergeCell ref="O42:S42"/>
    <mergeCell ref="T42:W42"/>
    <mergeCell ref="X42:Z42"/>
    <mergeCell ref="A34:B34"/>
    <mergeCell ref="C34:J34"/>
    <mergeCell ref="L34:M34"/>
    <mergeCell ref="L35:M35"/>
    <mergeCell ref="L36:M36"/>
    <mergeCell ref="L39:M39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A26:B26"/>
    <mergeCell ref="C26:F26"/>
    <mergeCell ref="G26:J26"/>
    <mergeCell ref="L26:M26"/>
    <mergeCell ref="A27:B27"/>
    <mergeCell ref="C27:F27"/>
    <mergeCell ref="G27:J27"/>
    <mergeCell ref="L27:M27"/>
    <mergeCell ref="C23:H23"/>
    <mergeCell ref="I23:N23"/>
    <mergeCell ref="O23:T23"/>
    <mergeCell ref="U23:Z23"/>
    <mergeCell ref="C24:F24"/>
    <mergeCell ref="A25:J25"/>
    <mergeCell ref="C21:H21"/>
    <mergeCell ref="I21:N21"/>
    <mergeCell ref="O21:T21"/>
    <mergeCell ref="U21:Z21"/>
    <mergeCell ref="C22:H22"/>
    <mergeCell ref="I22:N22"/>
    <mergeCell ref="O22:T22"/>
    <mergeCell ref="U22:Z22"/>
    <mergeCell ref="C20:H20"/>
    <mergeCell ref="I20:N20"/>
    <mergeCell ref="O20:T20"/>
    <mergeCell ref="U20:Z20"/>
    <mergeCell ref="I17:N17"/>
    <mergeCell ref="O17:T17"/>
    <mergeCell ref="U17:Z17"/>
    <mergeCell ref="C18:H18"/>
    <mergeCell ref="I18:N18"/>
    <mergeCell ref="O18:T18"/>
    <mergeCell ref="U18:Z18"/>
    <mergeCell ref="A15:A19"/>
    <mergeCell ref="C15:H15"/>
    <mergeCell ref="I15:N15"/>
    <mergeCell ref="O15:T15"/>
    <mergeCell ref="U15:Z15"/>
    <mergeCell ref="C16:H16"/>
    <mergeCell ref="I16:N16"/>
    <mergeCell ref="O16:T16"/>
    <mergeCell ref="U16:Z16"/>
    <mergeCell ref="C17:H17"/>
    <mergeCell ref="C19:H19"/>
    <mergeCell ref="I19:N19"/>
    <mergeCell ref="O19:T19"/>
    <mergeCell ref="U19:Z19"/>
    <mergeCell ref="C14:H14"/>
    <mergeCell ref="I14:N14"/>
    <mergeCell ref="O14:T14"/>
    <mergeCell ref="U14:Z14"/>
    <mergeCell ref="G10:J10"/>
    <mergeCell ref="A12:A13"/>
    <mergeCell ref="B12:B13"/>
    <mergeCell ref="C12:H13"/>
    <mergeCell ref="I12:N13"/>
    <mergeCell ref="A1:V5"/>
    <mergeCell ref="A6:Z6"/>
    <mergeCell ref="A7:B7"/>
    <mergeCell ref="G7:K7"/>
    <mergeCell ref="G8:J8"/>
    <mergeCell ref="D9:F9"/>
    <mergeCell ref="G9:J9"/>
    <mergeCell ref="S9:V10"/>
    <mergeCell ref="O12:T13"/>
    <mergeCell ref="U12:Z13"/>
  </mergeCells>
  <pageMargins left="0.45" right="0.7" top="0.5" bottom="0.7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55A6-83AF-40F9-A213-201137AFF171}">
  <sheetPr>
    <pageSetUpPr fitToPage="1"/>
  </sheetPr>
  <dimension ref="A1:Z28"/>
  <sheetViews>
    <sheetView workbookViewId="0">
      <selection activeCell="G7" sqref="G7:J7"/>
    </sheetView>
  </sheetViews>
  <sheetFormatPr defaultRowHeight="14.4"/>
  <cols>
    <col min="1" max="1" width="10.77734375" customWidth="1"/>
    <col min="2" max="2" width="56.33203125" customWidth="1"/>
    <col min="3" max="18" width="3.88671875" customWidth="1"/>
    <col min="19" max="20" width="4.44140625" customWidth="1"/>
    <col min="21" max="26" width="4.88671875" customWidth="1"/>
  </cols>
  <sheetData>
    <row r="1" spans="1:26" ht="15">
      <c r="A1" s="121" t="s">
        <v>67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45"/>
      <c r="X1" s="45"/>
      <c r="Y1" s="45"/>
      <c r="Z1" s="45"/>
    </row>
    <row r="2" spans="1:26" ht="1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45"/>
      <c r="X2" s="45"/>
      <c r="Y2" s="45"/>
      <c r="Z2" s="45"/>
    </row>
    <row r="3" spans="1:26" ht="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45"/>
      <c r="X3" s="45"/>
      <c r="Y3" s="45"/>
      <c r="Z3" s="45"/>
    </row>
    <row r="4" spans="1:26" ht="1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45"/>
      <c r="X4" s="45"/>
      <c r="Y4" s="45"/>
      <c r="Z4" s="45"/>
    </row>
    <row r="5" spans="1:26" ht="15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45"/>
      <c r="X5" s="45"/>
      <c r="Y5" s="45"/>
      <c r="Z5" s="45"/>
    </row>
    <row r="6" spans="1:26" ht="30">
      <c r="A6" s="122" t="s">
        <v>215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s="7" customFormat="1" ht="17.399999999999999">
      <c r="A7" s="123" t="s">
        <v>215</v>
      </c>
      <c r="B7" s="123"/>
      <c r="C7" s="42" t="s">
        <v>69</v>
      </c>
      <c r="E7" s="18"/>
      <c r="F7" s="18"/>
      <c r="G7" s="124" t="str">
        <f>'ใบงาน Agilent_JOB 10'!F7</f>
        <v>xxxx</v>
      </c>
      <c r="H7" s="124"/>
      <c r="I7" s="124"/>
      <c r="J7" s="124"/>
      <c r="L7" s="18"/>
      <c r="M7" s="18"/>
      <c r="N7" s="18"/>
      <c r="O7" s="18"/>
      <c r="P7" s="18"/>
      <c r="Q7" s="18"/>
      <c r="R7" s="18"/>
      <c r="S7" s="46" t="s">
        <v>57</v>
      </c>
      <c r="W7" s="35" t="str">
        <f>'ใบงาน Agilent_JOB 10'!M7</f>
        <v>xxxx</v>
      </c>
      <c r="X7" s="35"/>
      <c r="Y7" s="35"/>
      <c r="Z7" s="35"/>
    </row>
    <row r="8" spans="1:26" s="7" customFormat="1" ht="21" customHeight="1">
      <c r="A8" s="48" t="s">
        <v>70</v>
      </c>
      <c r="B8" s="47" t="str">
        <f>'ใบงาน Agilent_JOB 10'!F8</f>
        <v>K9801-60094</v>
      </c>
      <c r="C8" s="47" t="s">
        <v>71</v>
      </c>
      <c r="D8" s="47"/>
      <c r="E8" s="47"/>
      <c r="F8" s="47"/>
      <c r="G8" s="125" t="str">
        <f>'ใบงาน Agilent_JOB 10'!F9</f>
        <v>-</v>
      </c>
      <c r="H8" s="125"/>
      <c r="I8" s="125"/>
      <c r="J8" s="125"/>
      <c r="K8" s="41"/>
      <c r="L8" s="41"/>
      <c r="M8" s="41"/>
      <c r="N8" s="41"/>
      <c r="O8" s="41"/>
      <c r="P8" s="41"/>
      <c r="Q8" s="41"/>
      <c r="R8" s="41"/>
      <c r="S8" s="41" t="s">
        <v>225</v>
      </c>
      <c r="T8" s="41"/>
      <c r="W8" s="7" t="str">
        <f>'ใบงาน Agilent_JOB 10'!N9</f>
        <v>PO12345</v>
      </c>
    </row>
    <row r="9" spans="1:26" s="7" customFormat="1" ht="13.8">
      <c r="A9" s="190" t="s">
        <v>3</v>
      </c>
      <c r="B9" s="190"/>
      <c r="C9" s="61"/>
      <c r="D9" s="61"/>
      <c r="E9" s="61"/>
      <c r="F9" s="61"/>
      <c r="G9" s="125" t="s">
        <v>3</v>
      </c>
      <c r="H9" s="125"/>
      <c r="I9" s="125"/>
      <c r="J9" s="125"/>
      <c r="L9" s="18"/>
      <c r="M9" s="18"/>
      <c r="N9" s="18"/>
      <c r="O9" s="18"/>
      <c r="P9" s="18"/>
      <c r="Q9" s="18"/>
      <c r="R9" s="18"/>
    </row>
    <row r="10" spans="1:26" s="7" customFormat="1" ht="13.8">
      <c r="A10" s="41" t="s">
        <v>216</v>
      </c>
      <c r="B10" s="18">
        <f>'ใบงาน Agilent_JOB 10'!N8/50</f>
        <v>40</v>
      </c>
      <c r="C10" s="18"/>
      <c r="D10" s="124" t="s">
        <v>3</v>
      </c>
      <c r="E10" s="124"/>
      <c r="F10" s="124"/>
      <c r="G10" s="126" t="s">
        <v>3</v>
      </c>
      <c r="H10" s="126"/>
      <c r="I10" s="126"/>
      <c r="J10" s="126"/>
      <c r="K10" s="42"/>
      <c r="L10" s="18"/>
      <c r="M10" s="18"/>
      <c r="N10" s="18"/>
      <c r="O10" s="18"/>
      <c r="P10" s="18"/>
      <c r="Q10" s="18"/>
      <c r="R10" s="18"/>
    </row>
    <row r="11" spans="1:26" s="7" customFormat="1" ht="13.8">
      <c r="B11" s="124"/>
      <c r="C11" s="18"/>
      <c r="D11" s="18"/>
      <c r="E11" s="18"/>
      <c r="F11" s="18"/>
      <c r="G11" s="126" t="s">
        <v>3</v>
      </c>
      <c r="H11" s="126"/>
      <c r="I11" s="126"/>
      <c r="J11" s="126"/>
      <c r="K11" s="18"/>
      <c r="L11" s="18"/>
      <c r="M11" s="18"/>
      <c r="N11" s="18"/>
      <c r="O11" s="18"/>
      <c r="P11" s="18"/>
      <c r="Q11" s="18"/>
      <c r="R11" s="18"/>
      <c r="S11" s="107" t="s">
        <v>72</v>
      </c>
      <c r="T11" s="107"/>
      <c r="U11" s="107"/>
      <c r="V11" s="107"/>
    </row>
    <row r="12" spans="1:26" s="7" customFormat="1" ht="13.8">
      <c r="A12" s="18" t="s">
        <v>217</v>
      </c>
      <c r="B12" s="124"/>
      <c r="C12" s="18"/>
      <c r="D12" s="18"/>
      <c r="E12" s="18"/>
      <c r="F12" s="18"/>
      <c r="G12" s="126" t="s">
        <v>3</v>
      </c>
      <c r="H12" s="126"/>
      <c r="I12" s="126"/>
      <c r="J12" s="126"/>
      <c r="K12" s="18"/>
      <c r="L12" s="18"/>
      <c r="M12" s="18"/>
      <c r="N12" s="18"/>
      <c r="O12" s="18"/>
      <c r="P12" s="18"/>
      <c r="Q12" s="18"/>
      <c r="R12" s="18"/>
      <c r="S12" s="107"/>
      <c r="T12" s="107"/>
      <c r="U12" s="107"/>
      <c r="V12" s="107"/>
    </row>
    <row r="13" spans="1:26" s="7" customFormat="1" ht="13.8">
      <c r="A13" s="18"/>
      <c r="B13" s="191"/>
      <c r="C13" s="18"/>
      <c r="D13" s="18"/>
      <c r="E13" s="18"/>
      <c r="F13" s="18"/>
      <c r="G13" s="42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7" customFormat="1" ht="13.8">
      <c r="A14" s="135" t="s">
        <v>17</v>
      </c>
      <c r="B14" s="135" t="s">
        <v>75</v>
      </c>
      <c r="C14" s="127" t="s">
        <v>76</v>
      </c>
      <c r="D14" s="136"/>
      <c r="E14" s="136"/>
      <c r="F14" s="136"/>
      <c r="G14" s="136"/>
      <c r="H14" s="137"/>
      <c r="I14" s="127" t="s">
        <v>23</v>
      </c>
      <c r="J14" s="136"/>
      <c r="K14" s="136"/>
      <c r="L14" s="136"/>
      <c r="M14" s="136"/>
      <c r="N14" s="137"/>
      <c r="O14" s="127" t="s">
        <v>24</v>
      </c>
      <c r="P14" s="128"/>
      <c r="Q14" s="128"/>
      <c r="R14" s="128"/>
      <c r="S14" s="128"/>
      <c r="T14" s="129"/>
      <c r="U14" s="133" t="s">
        <v>77</v>
      </c>
      <c r="V14" s="133"/>
      <c r="W14" s="133"/>
      <c r="X14" s="133"/>
      <c r="Y14" s="133"/>
      <c r="Z14" s="133"/>
    </row>
    <row r="15" spans="1:26" s="7" customFormat="1" ht="13.8">
      <c r="A15" s="79"/>
      <c r="B15" s="135"/>
      <c r="C15" s="138"/>
      <c r="D15" s="139"/>
      <c r="E15" s="139"/>
      <c r="F15" s="139"/>
      <c r="G15" s="139"/>
      <c r="H15" s="140"/>
      <c r="I15" s="138"/>
      <c r="J15" s="139"/>
      <c r="K15" s="139"/>
      <c r="L15" s="139"/>
      <c r="M15" s="139"/>
      <c r="N15" s="140"/>
      <c r="O15" s="130"/>
      <c r="P15" s="131"/>
      <c r="Q15" s="131"/>
      <c r="R15" s="131"/>
      <c r="S15" s="131"/>
      <c r="T15" s="132"/>
      <c r="U15" s="133"/>
      <c r="V15" s="133"/>
      <c r="W15" s="133"/>
      <c r="X15" s="133"/>
      <c r="Y15" s="133"/>
      <c r="Z15" s="133"/>
    </row>
    <row r="16" spans="1:26" s="51" customFormat="1" ht="17.399999999999999">
      <c r="A16" s="141">
        <v>1</v>
      </c>
      <c r="B16" s="52" t="s">
        <v>79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spans="1:26" s="51" customFormat="1" ht="17.399999999999999">
      <c r="A17" s="142"/>
      <c r="B17" s="52" t="s">
        <v>80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spans="1:26" s="51" customFormat="1" ht="17.399999999999999">
      <c r="A18" s="142"/>
      <c r="B18" s="52" t="s">
        <v>81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spans="1:26" s="51" customFormat="1" ht="17.399999999999999">
      <c r="A19" s="142"/>
      <c r="B19" s="52" t="s">
        <v>82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spans="1:26" s="51" customFormat="1" ht="17.399999999999999">
      <c r="A20" s="143"/>
      <c r="B20" s="52" t="s">
        <v>83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spans="1:26" s="51" customFormat="1" ht="17.399999999999999">
      <c r="A21" s="49">
        <v>2</v>
      </c>
      <c r="B21" s="50" t="s">
        <v>84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spans="1:26" s="51" customFormat="1" ht="17.399999999999999">
      <c r="A22" s="49">
        <v>3</v>
      </c>
      <c r="B22" s="50" t="s">
        <v>218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spans="1:26" s="51" customFormat="1" ht="17.399999999999999">
      <c r="A23" s="49">
        <v>4</v>
      </c>
      <c r="B23" s="50" t="s">
        <v>219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spans="1:26" s="7" customFormat="1" ht="13.8">
      <c r="A24" s="8"/>
      <c r="C24" s="144"/>
      <c r="D24" s="144"/>
      <c r="E24" s="144"/>
      <c r="F24" s="144"/>
    </row>
    <row r="25" spans="1:26" s="53" customFormat="1" ht="15">
      <c r="A25" s="54"/>
      <c r="L25" s="149"/>
      <c r="M25" s="149"/>
    </row>
    <row r="26" spans="1:26" s="7" customFormat="1" ht="13.8">
      <c r="A26" s="8"/>
      <c r="L26" s="144"/>
      <c r="M26" s="144"/>
    </row>
    <row r="27" spans="1:26" s="7" customFormat="1" ht="13.8">
      <c r="A27" s="8"/>
      <c r="L27" s="144"/>
      <c r="M27" s="144"/>
    </row>
    <row r="28" spans="1:26" s="7" customFormat="1" ht="13.8">
      <c r="A28" s="8"/>
      <c r="L28" s="144"/>
      <c r="M28" s="144"/>
    </row>
  </sheetData>
  <mergeCells count="57">
    <mergeCell ref="L25:M25"/>
    <mergeCell ref="L26:M26"/>
    <mergeCell ref="L27:M27"/>
    <mergeCell ref="L28:M28"/>
    <mergeCell ref="C23:H23"/>
    <mergeCell ref="I23:N23"/>
    <mergeCell ref="O23:T23"/>
    <mergeCell ref="U23:Z23"/>
    <mergeCell ref="C24:F24"/>
    <mergeCell ref="C21:H21"/>
    <mergeCell ref="I21:N21"/>
    <mergeCell ref="O21:T21"/>
    <mergeCell ref="U21:Z21"/>
    <mergeCell ref="C22:H22"/>
    <mergeCell ref="I22:N22"/>
    <mergeCell ref="O22:T22"/>
    <mergeCell ref="U22:Z22"/>
    <mergeCell ref="O14:T15"/>
    <mergeCell ref="U14:Z15"/>
    <mergeCell ref="U17:Z17"/>
    <mergeCell ref="C18:H18"/>
    <mergeCell ref="I18:N18"/>
    <mergeCell ref="O18:T18"/>
    <mergeCell ref="U18:Z18"/>
    <mergeCell ref="O19:T19"/>
    <mergeCell ref="U19:Z19"/>
    <mergeCell ref="C20:H20"/>
    <mergeCell ref="I20:N20"/>
    <mergeCell ref="O20:T20"/>
    <mergeCell ref="U20:Z20"/>
    <mergeCell ref="O16:T16"/>
    <mergeCell ref="U16:Z16"/>
    <mergeCell ref="C17:H17"/>
    <mergeCell ref="I17:N17"/>
    <mergeCell ref="O17:T17"/>
    <mergeCell ref="A14:A15"/>
    <mergeCell ref="B14:B15"/>
    <mergeCell ref="C14:H15"/>
    <mergeCell ref="I14:N15"/>
    <mergeCell ref="A16:A20"/>
    <mergeCell ref="C16:H16"/>
    <mergeCell ref="I16:N16"/>
    <mergeCell ref="C19:H19"/>
    <mergeCell ref="I19:N19"/>
    <mergeCell ref="A1:V5"/>
    <mergeCell ref="A6:Z6"/>
    <mergeCell ref="A7:B7"/>
    <mergeCell ref="G7:J7"/>
    <mergeCell ref="G8:J8"/>
    <mergeCell ref="A9:B9"/>
    <mergeCell ref="G9:J9"/>
    <mergeCell ref="S11:V12"/>
    <mergeCell ref="D10:F10"/>
    <mergeCell ref="G10:J10"/>
    <mergeCell ref="B11:B13"/>
    <mergeCell ref="G11:J11"/>
    <mergeCell ref="G12:J12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10</vt:lpstr>
      <vt:lpstr>A2-QC ถุง</vt:lpstr>
      <vt:lpstr> P2-QC กล่อง</vt:lpstr>
      <vt:lpstr>'ใบงาน Agilent_JOB 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2026-08-03T02:28:30Z</cp:lastPrinted>
  <dcterms:created xsi:type="dcterms:W3CDTF">2022-12-02T03:16:26Z</dcterms:created>
  <dcterms:modified xsi:type="dcterms:W3CDTF">2026-08-11T03:47:00Z</dcterms:modified>
</cp:coreProperties>
</file>