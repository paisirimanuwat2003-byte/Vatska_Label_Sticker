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fa44234d445c58/Contract mfg/TAAT/"/>
    </mc:Choice>
  </mc:AlternateContent>
  <xr:revisionPtr revIDLastSave="152" documentId="8_{B8052196-1D75-463C-AF26-A1A4F630A947}" xr6:coauthVersionLast="47" xr6:coauthVersionMax="47" xr10:uidLastSave="{338EC0DA-7EBF-4874-8799-0F43D3CBF41C}"/>
  <bookViews>
    <workbookView xWindow="-98" yWindow="-98" windowWidth="21795" windowHeight="12975" xr2:uid="{874D8AF1-DF56-4DEE-86B1-A5E2F5D42D71}"/>
  </bookViews>
  <sheets>
    <sheet name="A1" sheetId="1" r:id="rId1"/>
    <sheet name="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E31" i="1" s="1"/>
  <c r="C31" i="1"/>
  <c r="E17" i="2"/>
  <c r="E16" i="2"/>
  <c r="E15" i="2"/>
  <c r="E14" i="2"/>
  <c r="H13" i="2"/>
  <c r="G12" i="2"/>
  <c r="H11" i="2"/>
  <c r="J9" i="2"/>
  <c r="J8" i="2"/>
  <c r="J7" i="2"/>
  <c r="C7" i="2"/>
  <c r="F39" i="1"/>
  <c r="F38" i="1"/>
  <c r="F34" i="1"/>
  <c r="F33" i="1"/>
  <c r="F32" i="1"/>
  <c r="C34" i="1"/>
  <c r="C33" i="1"/>
  <c r="C32" i="1"/>
  <c r="G25" i="1"/>
  <c r="D34" i="1" s="1"/>
  <c r="G24" i="1"/>
  <c r="D33" i="1" s="1"/>
  <c r="G23" i="1"/>
  <c r="D32" i="1" s="1"/>
  <c r="H20" i="1"/>
  <c r="H12" i="2" s="1"/>
  <c r="H21" i="1"/>
  <c r="H19" i="1"/>
  <c r="G20" i="1"/>
  <c r="G21" i="1"/>
  <c r="G13" i="2" s="1"/>
  <c r="G19" i="1"/>
  <c r="G11" i="2" s="1"/>
  <c r="E20" i="1"/>
  <c r="E21" i="1"/>
  <c r="E19" i="1"/>
</calcChain>
</file>

<file path=xl/sharedStrings.xml><?xml version="1.0" encoding="utf-8"?>
<sst xmlns="http://schemas.openxmlformats.org/spreadsheetml/2006/main" count="214" uniqueCount="133">
  <si>
    <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
โทร. +662 9244161 อีเมล: sales@vatska.com/ Tel: +662 9244161 E-mail: sales@vatska.com </t>
    </r>
  </si>
  <si>
    <t>วันที่</t>
  </si>
  <si>
    <t>แผนก</t>
  </si>
  <si>
    <t>ผลิต (Production)</t>
  </si>
  <si>
    <t>ลูกค้า</t>
  </si>
  <si>
    <t>ลำดับ</t>
  </si>
  <si>
    <t>รายละเอียด</t>
  </si>
  <si>
    <t>จำนวนสายยางที่เบิกเป็นมิลลิเมตร</t>
  </si>
  <si>
    <t>สายยาง</t>
  </si>
  <si>
    <t>แท่นพลาสติคเพื่อใช้ตัดสายยาง</t>
  </si>
  <si>
    <t>สติกเกอร์</t>
  </si>
  <si>
    <t>ไม้บรรทัดเหล็ก</t>
  </si>
  <si>
    <t xml:space="preserve"> </t>
  </si>
  <si>
    <t>วัสดุที่เบิกใช้ในการผลิต</t>
  </si>
  <si>
    <t>แผ่นอลูมิเนียมเพื่อยึดสายยาง</t>
  </si>
  <si>
    <t xml:space="preserve">ถุงพลาสติค </t>
  </si>
  <si>
    <t>คีมหนีบสแตนเลสปากแหลม/ปากแบน</t>
  </si>
  <si>
    <t>สี/รุ่น</t>
  </si>
  <si>
    <t>ระยะ A</t>
  </si>
  <si>
    <t>ระยะ B</t>
  </si>
  <si>
    <t>ระยะ C</t>
  </si>
  <si>
    <t>มิลลิเมตร</t>
  </si>
  <si>
    <t>ระยะความยาวสายยางโดยรวม</t>
  </si>
  <si>
    <t>ระยะห่างระหว่างคอลล่าร์</t>
  </si>
  <si>
    <t>AYFEC869</t>
  </si>
  <si>
    <t>AYGEC869</t>
  </si>
  <si>
    <t>AYHEC871</t>
  </si>
  <si>
    <t xml:space="preserve">AYIEC871 </t>
  </si>
  <si>
    <t>AYNEC872</t>
  </si>
  <si>
    <t>part number ของคอลล่าร์</t>
  </si>
  <si>
    <t>ใบงาน TAAT</t>
  </si>
  <si>
    <t>จำนวนคอลล่าร์ต่อเส้น</t>
  </si>
  <si>
    <t xml:space="preserve">สีของคอลล่าร์ </t>
  </si>
  <si>
    <t>ผู้เบิกวัตถุดิบ</t>
  </si>
  <si>
    <t>ผู้อนุมัติ</t>
  </si>
  <si>
    <t>ใบตรวจสอบคุณภาพผลิตภัณฑ์และหีบห่อ TAAT</t>
  </si>
  <si>
    <t>เลขที่เอกสาร</t>
  </si>
  <si>
    <t>หัวข้อที่ใช้ในการตรวจสอบ</t>
  </si>
  <si>
    <t>ปริมาณกาวล้นสายยาง</t>
  </si>
  <si>
    <t xml:space="preserve">คอลล่าร์ติดเอียง </t>
  </si>
  <si>
    <t>คอลล่าร์ติดไม่แน่น</t>
  </si>
  <si>
    <t>สติกเกอร์ลงวันที่ผลิตตรงตามใบงาน</t>
  </si>
  <si>
    <t xml:space="preserve">สติกเกอร์ลง รหัสสินค้าถูกต้อง </t>
  </si>
  <si>
    <t>จำนวนสายยางถูกต้องตามใบสั่งงาน</t>
  </si>
  <si>
    <t>จำนวนสายยาง/หีบห่อที่ผลิต</t>
  </si>
  <si>
    <t>จำนวนสายยาง/หีบห่อที่ตรวจสอบ</t>
  </si>
  <si>
    <t>QC PASSED</t>
  </si>
  <si>
    <t>QC REJECTED</t>
  </si>
  <si>
    <t>ระยะห่างระหว่างคอลล่าร์กับปลายสายยาง</t>
  </si>
  <si>
    <t>รหัสสินค้า</t>
  </si>
  <si>
    <t xml:space="preserve">จำนวน </t>
  </si>
  <si>
    <t>หน่วย</t>
  </si>
  <si>
    <t>จำนวนที่ผ่าน/ไม่ผ่านการตรวจสอบ</t>
  </si>
  <si>
    <t>A1</t>
  </si>
  <si>
    <t>กล่อง</t>
  </si>
  <si>
    <t>ชิ้น</t>
  </si>
  <si>
    <t>ตัวคอลล่าร์ติดสายยางตัวที่ 1</t>
  </si>
  <si>
    <t>ตัวคอลล่าร์ติดสายยางตัวที่ 2</t>
  </si>
  <si>
    <t>ตัวคอลล่าร์ติดสายยางตัวที่ 3</t>
  </si>
  <si>
    <t>ตัวคอลล่าร์ติดสายยางตัวที่ 4</t>
  </si>
  <si>
    <t>Saint Gobain TAAT</t>
  </si>
  <si>
    <t>TAAT</t>
  </si>
  <si>
    <t>TAAT TUBE</t>
  </si>
  <si>
    <t>TAAT TUBE P/N</t>
  </si>
  <si>
    <t>ID (mm)</t>
  </si>
  <si>
    <t>OD (mm)</t>
  </si>
  <si>
    <t>Length (mm)</t>
  </si>
  <si>
    <t>1st
Collar
P/N</t>
  </si>
  <si>
    <t>1st
Collar
Color</t>
  </si>
  <si>
    <t>Picture</t>
  </si>
  <si>
    <t>2nd
Collar
P/N</t>
  </si>
  <si>
    <t>2nd
Collar
Color</t>
  </si>
  <si>
    <t>070534-11-ND</t>
  </si>
  <si>
    <t>070534-12-ND</t>
  </si>
  <si>
    <t xml:space="preserve">AYGEC869 </t>
  </si>
  <si>
    <t>070534-13-ND</t>
  </si>
  <si>
    <t>070534-14-ND</t>
  </si>
  <si>
    <t>AYLEC870</t>
  </si>
  <si>
    <t>070534-18-ND</t>
  </si>
  <si>
    <t xml:space="preserve">AYHEC871 </t>
  </si>
  <si>
    <t>070534-19-ND</t>
  </si>
  <si>
    <t>AYIEC871</t>
  </si>
  <si>
    <t>070534-20-ND</t>
  </si>
  <si>
    <t>070534-21-ND</t>
  </si>
  <si>
    <t>Collar 1</t>
  </si>
  <si>
    <t>Collar 2</t>
  </si>
  <si>
    <t>Collar 3</t>
  </si>
  <si>
    <t>ดำ</t>
  </si>
  <si>
    <t>เขียว</t>
  </si>
  <si>
    <t>แดง</t>
  </si>
  <si>
    <t>เทา</t>
  </si>
  <si>
    <t>ฟ้า</t>
  </si>
  <si>
    <t>ม่วง</t>
  </si>
  <si>
    <t>SG PO</t>
  </si>
  <si>
    <t>PART NO</t>
  </si>
  <si>
    <t>Description</t>
  </si>
  <si>
    <t>part number ของสายยาง</t>
  </si>
  <si>
    <t>Lot no.</t>
  </si>
  <si>
    <t>จำนวนที่บรรจุ</t>
  </si>
  <si>
    <t>SAINT-GOBAIN TAAT</t>
  </si>
  <si>
    <t>Lot no</t>
  </si>
  <si>
    <t>Pharmed</t>
  </si>
  <si>
    <t>LMT-55</t>
  </si>
  <si>
    <t>E-3603</t>
  </si>
  <si>
    <t>AY242605</t>
  </si>
  <si>
    <t>AY242606</t>
  </si>
  <si>
    <t>AY242607</t>
  </si>
  <si>
    <t>AY242602</t>
  </si>
  <si>
    <t>AY242603</t>
  </si>
  <si>
    <t>ALH00001</t>
  </si>
  <si>
    <t>ALH00002</t>
  </si>
  <si>
    <t>ALH00003</t>
  </si>
  <si>
    <t>ALH00004</t>
  </si>
  <si>
    <t>ALH00005</t>
  </si>
  <si>
    <t>ALH00006</t>
  </si>
  <si>
    <t>ALH02002</t>
  </si>
  <si>
    <t>ALH02004</t>
  </si>
  <si>
    <t>ACF00001</t>
  </si>
  <si>
    <t>ACF00002</t>
  </si>
  <si>
    <t>ACF02002</t>
  </si>
  <si>
    <t>ACF00003</t>
  </si>
  <si>
    <t>ACF00004</t>
  </si>
  <si>
    <t>ACF02004</t>
  </si>
  <si>
    <t>ACF00005</t>
  </si>
  <si>
    <t>ACF00006</t>
  </si>
  <si>
    <t>08-Aug-2026</t>
  </si>
  <si>
    <t>สีของคอลล่าร์  1</t>
  </si>
  <si>
    <t>สีของคอลล่าร์  2</t>
  </si>
  <si>
    <t>สีของคอลล่าร์  3</t>
  </si>
  <si>
    <t>จำนวนชิ้นที่ผลิต</t>
  </si>
  <si>
    <r>
      <rPr>
        <b/>
        <sz val="18"/>
        <color theme="1"/>
        <rFont val="Angsana New"/>
        <family val="1"/>
      </rPr>
      <t>บริษัท แวตสก้า จำกัด/ Vatska Company Limited</t>
    </r>
    <r>
      <rPr>
        <sz val="16"/>
        <color theme="1"/>
        <rFont val="Angsana New"/>
        <family val="1"/>
      </rPr>
      <t xml:space="preserve">
53/2 ต. อ้อมเกร็ด อ. ปากเกร็ด จ. นนทบุรี 11120/ 53/2 T. Om-Kred A. Pakkred Nonthaburi 11120 ThailandA2
โทร. +662 9244161 อีเมล: sales@vatska.com/ Tel: +662 9244161 E-mail: sales@vatska.com </t>
    </r>
  </si>
  <si>
    <t>line</t>
  </si>
  <si>
    <t>LOCTITE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</si>
</sst>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5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9"/>
      <color theme="1"/>
      <name val="Arial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2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u/>
      <sz val="16"/>
      <color theme="1"/>
      <name val="Arial"/>
      <family val="2"/>
    </font>
    <font>
      <sz val="18"/>
      <color theme="1"/>
      <name val="Arial"/>
      <family val="2"/>
    </font>
    <font>
      <sz val="18"/>
      <name val="Arial"/>
      <family val="2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24"/>
      <color theme="1"/>
      <name val="Arial"/>
      <family val="2"/>
    </font>
    <font>
      <sz val="8"/>
      <name val="Aptos Narrow"/>
      <family val="2"/>
      <charset val="22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name val="Arial"/>
      <family val="2"/>
    </font>
    <font>
      <b/>
      <sz val="18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9" fillId="2" borderId="3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2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/>
    </xf>
    <xf numFmtId="164" fontId="12" fillId="2" borderId="2" xfId="1" applyFont="1" applyFill="1" applyBorder="1" applyAlignment="1">
      <alignment horizontal="right"/>
    </xf>
    <xf numFmtId="0" fontId="12" fillId="2" borderId="0" xfId="0" applyFont="1" applyFill="1"/>
    <xf numFmtId="0" fontId="12" fillId="2" borderId="2" xfId="0" applyFont="1" applyFill="1" applyBorder="1"/>
    <xf numFmtId="0" fontId="12" fillId="2" borderId="8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1" xfId="0" applyFont="1" applyBorder="1"/>
    <xf numFmtId="0" fontId="14" fillId="0" borderId="0" xfId="0" applyFont="1"/>
    <xf numFmtId="9" fontId="8" fillId="0" borderId="0" xfId="0" applyNumberFormat="1" applyFont="1"/>
    <xf numFmtId="0" fontId="15" fillId="2" borderId="3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/>
    </xf>
    <xf numFmtId="164" fontId="15" fillId="2" borderId="2" xfId="0" applyNumberFormat="1" applyFont="1" applyFill="1" applyBorder="1"/>
    <xf numFmtId="0" fontId="15" fillId="2" borderId="0" xfId="0" applyFont="1" applyFill="1"/>
    <xf numFmtId="0" fontId="15" fillId="2" borderId="2" xfId="0" applyFont="1" applyFill="1" applyBorder="1"/>
    <xf numFmtId="0" fontId="15" fillId="2" borderId="8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2" fillId="2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9" fillId="0" borderId="0" xfId="0" applyFont="1" applyAlignment="1">
      <alignment horizontal="left" vertical="top" wrapText="1"/>
    </xf>
    <xf numFmtId="164" fontId="12" fillId="2" borderId="2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2" fontId="8" fillId="0" borderId="0" xfId="0" applyNumberFormat="1" applyFont="1" applyAlignment="1">
      <alignment horizontal="right"/>
    </xf>
    <xf numFmtId="164" fontId="12" fillId="2" borderId="2" xfId="1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 wrapText="1" indent="1"/>
    </xf>
    <xf numFmtId="0" fontId="10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0" fillId="3" borderId="0" xfId="0" applyFont="1" applyFill="1"/>
    <xf numFmtId="0" fontId="8" fillId="0" borderId="1" xfId="0" applyFont="1" applyBorder="1"/>
    <xf numFmtId="0" fontId="8" fillId="0" borderId="12" xfId="0" applyFont="1" applyBorder="1"/>
    <xf numFmtId="0" fontId="21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right"/>
    </xf>
    <xf numFmtId="0" fontId="9" fillId="2" borderId="2" xfId="0" applyFont="1" applyFill="1" applyBorder="1"/>
    <xf numFmtId="0" fontId="23" fillId="2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right" vertical="center"/>
    </xf>
    <xf numFmtId="0" fontId="18" fillId="0" borderId="2" xfId="0" applyFont="1" applyBorder="1" applyAlignment="1">
      <alignment horizontal="right" vertical="center" wrapText="1"/>
    </xf>
    <xf numFmtId="0" fontId="23" fillId="2" borderId="2" xfId="0" applyFont="1" applyFill="1" applyBorder="1" applyAlignment="1">
      <alignment horizontal="right"/>
    </xf>
    <xf numFmtId="0" fontId="17" fillId="0" borderId="2" xfId="0" applyFont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10" fillId="2" borderId="0" xfId="0" applyFont="1" applyFill="1"/>
    <xf numFmtId="0" fontId="1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4" fillId="0" borderId="1" xfId="0" applyFont="1" applyBorder="1" applyAlignment="1">
      <alignment horizontal="right"/>
    </xf>
    <xf numFmtId="0" fontId="10" fillId="2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6" fillId="0" borderId="3" xfId="0" applyFont="1" applyBorder="1" applyAlignment="1">
      <alignment horizontal="right" vertical="center" wrapText="1"/>
    </xf>
    <xf numFmtId="164" fontId="15" fillId="2" borderId="2" xfId="0" applyNumberFormat="1" applyFont="1" applyFill="1" applyBorder="1" applyAlignment="1">
      <alignment horizontal="right"/>
    </xf>
    <xf numFmtId="0" fontId="15" fillId="2" borderId="2" xfId="0" applyFont="1" applyFill="1" applyBorder="1" applyAlignment="1">
      <alignment horizontal="right"/>
    </xf>
    <xf numFmtId="0" fontId="15" fillId="2" borderId="0" xfId="0" applyFont="1" applyFill="1" applyAlignment="1">
      <alignment horizontal="right"/>
    </xf>
    <xf numFmtId="0" fontId="21" fillId="4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49" fontId="10" fillId="3" borderId="0" xfId="0" applyNumberFormat="1" applyFont="1" applyFill="1"/>
    <xf numFmtId="0" fontId="10" fillId="0" borderId="0" xfId="0" applyFont="1" applyAlignment="1">
      <alignment wrapText="1"/>
    </xf>
    <xf numFmtId="0" fontId="17" fillId="3" borderId="0" xfId="0" applyFont="1" applyFill="1" applyAlignment="1">
      <alignment horizontal="left"/>
    </xf>
    <xf numFmtId="0" fontId="17" fillId="3" borderId="0" xfId="0" applyFont="1" applyFill="1"/>
    <xf numFmtId="0" fontId="12" fillId="3" borderId="2" xfId="0" applyFont="1" applyFill="1" applyBorder="1" applyAlignment="1">
      <alignment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12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64" fontId="15" fillId="2" borderId="7" xfId="1" applyFont="1" applyFill="1" applyBorder="1" applyAlignment="1">
      <alignment horizontal="center"/>
    </xf>
    <xf numFmtId="164" fontId="15" fillId="2" borderId="8" xfId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21" fillId="4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1.jp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174625</xdr:colOff>
      <xdr:row>0</xdr:row>
      <xdr:rowOff>31751</xdr:rowOff>
    </xdr:from>
    <xdr:to>
      <xdr:col>0</xdr:col>
      <xdr:colOff>786342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AFAFA-CB54-449F-A3CF-24BC0B0ECFC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5" y="31751"/>
          <a:ext cx="612775" cy="584199"/>
        </a:xfrm>
        <a:prstGeom prst="rect">
          <a:avLst/>
        </a:prstGeom>
        <a:noFill/>
      </xdr:spPr>
    </xdr:pic>
    <xdr:clientData/>
  </xdr:twoCellAnchor>
  <xdr:twoCellAnchor>
    <xdr:from>
      <xdr:col>7</xdr:col>
      <xdr:colOff>0</xdr:colOff>
      <xdr:row>12</xdr:row>
      <xdr:rowOff>260350</xdr:rowOff>
    </xdr:from>
    <xdr:to>
      <xdr:col>7</xdr:col>
      <xdr:colOff>0</xdr:colOff>
      <xdr:row>13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0B1D3C2-19AC-4453-956F-3D64541BF892}"/>
            </a:ext>
          </a:extLst>
        </xdr:cNvPr>
        <xdr:cNvCxnSpPr/>
      </xdr:nvCxnSpPr>
      <xdr:spPr>
        <a:xfrm>
          <a:off x="7600950" y="2921000"/>
          <a:ext cx="6350" cy="108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</xdr:row>
      <xdr:rowOff>0</xdr:rowOff>
    </xdr:from>
    <xdr:to>
      <xdr:col>7</xdr:col>
      <xdr:colOff>527050</xdr:colOff>
      <xdr:row>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55F87A7-2C12-41D2-AFE9-C34CC0A63E80}"/>
            </a:ext>
          </a:extLst>
        </xdr:cNvPr>
        <xdr:cNvSpPr/>
      </xdr:nvSpPr>
      <xdr:spPr>
        <a:xfrm>
          <a:off x="7931150" y="209550"/>
          <a:ext cx="527050" cy="482600"/>
        </a:xfrm>
        <a:prstGeom prst="rect">
          <a:avLst/>
        </a:pr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1040693</xdr:colOff>
      <xdr:row>11</xdr:row>
      <xdr:rowOff>238123</xdr:rowOff>
    </xdr:from>
    <xdr:to>
      <xdr:col>5</xdr:col>
      <xdr:colOff>16037</xdr:colOff>
      <xdr:row>13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F64B50A-D6D7-4257-97BE-496046F38572}"/>
            </a:ext>
          </a:extLst>
        </xdr:cNvPr>
        <xdr:cNvSpPr txBox="1"/>
      </xdr:nvSpPr>
      <xdr:spPr>
        <a:xfrm>
          <a:off x="4850693" y="3166179"/>
          <a:ext cx="518747" cy="5468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rgbClr val="FF0000"/>
              </a:solidFill>
            </a:rPr>
            <a:t> A</a:t>
          </a:r>
        </a:p>
      </xdr:txBody>
    </xdr:sp>
    <xdr:clientData/>
  </xdr:twoCellAnchor>
  <xdr:twoCellAnchor editAs="oneCell">
    <xdr:from>
      <xdr:col>0</xdr:col>
      <xdr:colOff>370417</xdr:colOff>
      <xdr:row>12</xdr:row>
      <xdr:rowOff>110243</xdr:rowOff>
    </xdr:from>
    <xdr:to>
      <xdr:col>7</xdr:col>
      <xdr:colOff>606938</xdr:colOff>
      <xdr:row>17</xdr:row>
      <xdr:rowOff>71096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0C9E15A-DAA6-D140-34BF-A4F2FBEE7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417" y="3302882"/>
          <a:ext cx="8124884" cy="14954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317500</xdr:colOff>
      <xdr:row>0</xdr:row>
      <xdr:rowOff>90488</xdr:rowOff>
    </xdr:from>
    <xdr:to>
      <xdr:col>0</xdr:col>
      <xdr:colOff>1066800</xdr:colOff>
      <xdr:row>4</xdr:row>
      <xdr:rowOff>111124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47905B-FA4C-45A4-9235-0399D60E791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90488"/>
          <a:ext cx="749300" cy="806449"/>
        </a:xfrm>
        <a:prstGeom prst="rect">
          <a:avLst/>
        </a:prstGeom>
        <a:noFill/>
      </xdr:spPr>
    </xdr:pic>
    <xdr:clientData/>
  </xdr:twoCellAnchor>
  <xdr:twoCellAnchor>
    <xdr:from>
      <xdr:col>2</xdr:col>
      <xdr:colOff>419100</xdr:colOff>
      <xdr:row>9</xdr:row>
      <xdr:rowOff>0</xdr:rowOff>
    </xdr:from>
    <xdr:to>
      <xdr:col>2</xdr:col>
      <xdr:colOff>425450</xdr:colOff>
      <xdr:row>9</xdr:row>
      <xdr:rowOff>19050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BA19E4A-898C-445C-9415-778BAFECE3FE}"/>
            </a:ext>
          </a:extLst>
        </xdr:cNvPr>
        <xdr:cNvCxnSpPr/>
      </xdr:nvCxnSpPr>
      <xdr:spPr>
        <a:xfrm>
          <a:off x="1028700" y="2927350"/>
          <a:ext cx="6350" cy="108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9</xdr:row>
      <xdr:rowOff>0</xdr:rowOff>
    </xdr:from>
    <xdr:to>
      <xdr:col>9</xdr:col>
      <xdr:colOff>387350</xdr:colOff>
      <xdr:row>9</xdr:row>
      <xdr:rowOff>12700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258EF2C-AF8B-4500-AD2B-BC2FC0B2B1CF}"/>
            </a:ext>
          </a:extLst>
        </xdr:cNvPr>
        <xdr:cNvCxnSpPr/>
      </xdr:nvCxnSpPr>
      <xdr:spPr>
        <a:xfrm>
          <a:off x="7600950" y="2921000"/>
          <a:ext cx="6350" cy="10858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157165</xdr:colOff>
      <xdr:row>44</xdr:row>
      <xdr:rowOff>36022</xdr:rowOff>
    </xdr:from>
    <xdr:to>
      <xdr:col>9</xdr:col>
      <xdr:colOff>685804</xdr:colOff>
      <xdr:row>44</xdr:row>
      <xdr:rowOff>309528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C53435-D80F-4F86-8FFC-881EBA19A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271195" y="15096068"/>
          <a:ext cx="273506" cy="528639"/>
        </a:xfrm>
        <a:prstGeom prst="rect">
          <a:avLst/>
        </a:prstGeom>
      </xdr:spPr>
    </xdr:pic>
    <xdr:clientData/>
  </xdr:twoCellAnchor>
  <xdr:twoCellAnchor editAs="oneCell">
    <xdr:from>
      <xdr:col>9</xdr:col>
      <xdr:colOff>204788</xdr:colOff>
      <xdr:row>41</xdr:row>
      <xdr:rowOff>23814</xdr:rowOff>
    </xdr:from>
    <xdr:to>
      <xdr:col>9</xdr:col>
      <xdr:colOff>695325</xdr:colOff>
      <xdr:row>41</xdr:row>
      <xdr:rowOff>313352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640718-6B33-4978-997B-7220C0FE2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91251" y="14254164"/>
          <a:ext cx="490537" cy="289538"/>
        </a:xfrm>
        <a:prstGeom prst="rect">
          <a:avLst/>
        </a:prstGeom>
      </xdr:spPr>
    </xdr:pic>
    <xdr:clientData/>
  </xdr:twoCellAnchor>
  <xdr:twoCellAnchor editAs="oneCell">
    <xdr:from>
      <xdr:col>9</xdr:col>
      <xdr:colOff>223838</xdr:colOff>
      <xdr:row>39</xdr:row>
      <xdr:rowOff>13815</xdr:rowOff>
    </xdr:from>
    <xdr:to>
      <xdr:col>9</xdr:col>
      <xdr:colOff>708133</xdr:colOff>
      <xdr:row>39</xdr:row>
      <xdr:rowOff>271463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75D4D8D-080A-4BA4-9582-843CC5219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323625" y="13492666"/>
          <a:ext cx="257648" cy="484295"/>
        </a:xfrm>
        <a:prstGeom prst="rect">
          <a:avLst/>
        </a:prstGeom>
      </xdr:spPr>
    </xdr:pic>
    <xdr:clientData/>
  </xdr:twoCellAnchor>
  <xdr:twoCellAnchor editAs="oneCell">
    <xdr:from>
      <xdr:col>9</xdr:col>
      <xdr:colOff>204786</xdr:colOff>
      <xdr:row>37</xdr:row>
      <xdr:rowOff>14288</xdr:rowOff>
    </xdr:from>
    <xdr:to>
      <xdr:col>9</xdr:col>
      <xdr:colOff>709612</xdr:colOff>
      <xdr:row>37</xdr:row>
      <xdr:rowOff>287839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EE7EDE1-681C-453F-90B8-F4C8AA476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1249" y="12968288"/>
          <a:ext cx="504826" cy="273551"/>
        </a:xfrm>
        <a:prstGeom prst="rect">
          <a:avLst/>
        </a:prstGeom>
      </xdr:spPr>
    </xdr:pic>
    <xdr:clientData/>
  </xdr:twoCellAnchor>
  <xdr:twoCellAnchor editAs="oneCell">
    <xdr:from>
      <xdr:col>9</xdr:col>
      <xdr:colOff>176213</xdr:colOff>
      <xdr:row>43</xdr:row>
      <xdr:rowOff>42864</xdr:rowOff>
    </xdr:from>
    <xdr:to>
      <xdr:col>9</xdr:col>
      <xdr:colOff>704850</xdr:colOff>
      <xdr:row>44</xdr:row>
      <xdr:rowOff>121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5471D1A-1C9A-4C84-AC02-17D85B50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62676" y="14911389"/>
          <a:ext cx="528637" cy="276344"/>
        </a:xfrm>
        <a:prstGeom prst="rect">
          <a:avLst/>
        </a:prstGeom>
      </xdr:spPr>
    </xdr:pic>
    <xdr:clientData/>
  </xdr:twoCellAnchor>
  <xdr:twoCellAnchor editAs="oneCell">
    <xdr:from>
      <xdr:col>9</xdr:col>
      <xdr:colOff>209549</xdr:colOff>
      <xdr:row>38</xdr:row>
      <xdr:rowOff>47623</xdr:rowOff>
    </xdr:from>
    <xdr:to>
      <xdr:col>9</xdr:col>
      <xdr:colOff>714375</xdr:colOff>
      <xdr:row>39</xdr:row>
      <xdr:rowOff>2086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50A8F80-B194-499F-8583-547E1BEB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96012" y="13320711"/>
          <a:ext cx="504826" cy="273551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209552</xdr:colOff>
      <xdr:row>40</xdr:row>
      <xdr:rowOff>23340</xdr:rowOff>
    </xdr:from>
    <xdr:to>
      <xdr:col>9</xdr:col>
      <xdr:colOff>693847</xdr:colOff>
      <xdr:row>40</xdr:row>
      <xdr:rowOff>280988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EEE429E-655B-4524-BC4B-275266D68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309339" y="13821279"/>
          <a:ext cx="257648" cy="48429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190501</xdr:colOff>
      <xdr:row>42</xdr:row>
      <xdr:rowOff>38100</xdr:rowOff>
    </xdr:from>
    <xdr:to>
      <xdr:col>9</xdr:col>
      <xdr:colOff>690562</xdr:colOff>
      <xdr:row>42</xdr:row>
      <xdr:rowOff>318757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F121DB5-A570-4A5E-A36A-D6D4CEEBA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76964" y="14587538"/>
          <a:ext cx="500061" cy="280657"/>
        </a:xfrm>
        <a:prstGeom prst="rect">
          <a:avLst/>
        </a:prstGeom>
      </xdr:spPr>
    </xdr:pic>
    <xdr:clientData/>
  </xdr:twoCellAnchor>
  <xdr:twoCellAnchor editAs="oneCell">
    <xdr:from>
      <xdr:col>12</xdr:col>
      <xdr:colOff>180978</xdr:colOff>
      <xdr:row>39</xdr:row>
      <xdr:rowOff>42390</xdr:rowOff>
    </xdr:from>
    <xdr:to>
      <xdr:col>12</xdr:col>
      <xdr:colOff>689085</xdr:colOff>
      <xdr:row>39</xdr:row>
      <xdr:rowOff>300038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25551B3-05E9-4D6A-BA30-D92F77EFF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9007296" y="13799848"/>
          <a:ext cx="257648" cy="508107"/>
        </a:xfrm>
        <a:prstGeom prst="rect">
          <a:avLst/>
        </a:prstGeom>
      </xdr:spPr>
    </xdr:pic>
    <xdr:clientData/>
  </xdr:twoCellAnchor>
  <xdr:twoCellAnchor editAs="oneCell">
    <xdr:from>
      <xdr:col>12</xdr:col>
      <xdr:colOff>185737</xdr:colOff>
      <xdr:row>37</xdr:row>
      <xdr:rowOff>42863</xdr:rowOff>
    </xdr:from>
    <xdr:to>
      <xdr:col>12</xdr:col>
      <xdr:colOff>690563</xdr:colOff>
      <xdr:row>37</xdr:row>
      <xdr:rowOff>316414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1E1304B-42B8-4ED0-902F-903B74AD6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86825" y="13287376"/>
          <a:ext cx="504826" cy="273551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209551</xdr:colOff>
      <xdr:row>38</xdr:row>
      <xdr:rowOff>33338</xdr:rowOff>
    </xdr:from>
    <xdr:to>
      <xdr:col>12</xdr:col>
      <xdr:colOff>693846</xdr:colOff>
      <xdr:row>38</xdr:row>
      <xdr:rowOff>290986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FD021ED-08DB-48F5-A13C-834443EAA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9023963" y="13483614"/>
          <a:ext cx="257648" cy="484295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42</xdr:row>
      <xdr:rowOff>38102</xdr:rowOff>
    </xdr:from>
    <xdr:to>
      <xdr:col>12</xdr:col>
      <xdr:colOff>700087</xdr:colOff>
      <xdr:row>42</xdr:row>
      <xdr:rowOff>314446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063B902-54B5-4B4C-9BEF-0C28CA9D2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2538" y="14878052"/>
          <a:ext cx="528637" cy="276344"/>
        </a:xfrm>
        <a:prstGeom prst="rect">
          <a:avLst/>
        </a:prstGeom>
      </xdr:spPr>
    </xdr:pic>
    <xdr:clientData/>
  </xdr:twoCellAnchor>
  <xdr:twoCellAnchor editAs="oneCell">
    <xdr:from>
      <xdr:col>12</xdr:col>
      <xdr:colOff>185738</xdr:colOff>
      <xdr:row>41</xdr:row>
      <xdr:rowOff>33337</xdr:rowOff>
    </xdr:from>
    <xdr:to>
      <xdr:col>12</xdr:col>
      <xdr:colOff>685799</xdr:colOff>
      <xdr:row>41</xdr:row>
      <xdr:rowOff>313994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3B04FF9A-2BED-4EEC-ACC7-9BC58787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86826" y="14554200"/>
          <a:ext cx="500061" cy="280657"/>
        </a:xfrm>
        <a:prstGeom prst="rect">
          <a:avLst/>
        </a:prstGeom>
      </xdr:spPr>
    </xdr:pic>
    <xdr:clientData/>
  </xdr:twoCellAnchor>
  <xdr:twoCellAnchor editAs="oneCell">
    <xdr:from>
      <xdr:col>12</xdr:col>
      <xdr:colOff>171450</xdr:colOff>
      <xdr:row>43</xdr:row>
      <xdr:rowOff>28577</xdr:rowOff>
    </xdr:from>
    <xdr:to>
      <xdr:col>12</xdr:col>
      <xdr:colOff>700087</xdr:colOff>
      <xdr:row>43</xdr:row>
      <xdr:rowOff>304921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8FEFC6D-CDE7-4F3C-BC2B-5C289AB1C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72538" y="15187615"/>
          <a:ext cx="528637" cy="276344"/>
        </a:xfrm>
        <a:prstGeom prst="rect">
          <a:avLst/>
        </a:prstGeom>
      </xdr:spPr>
    </xdr:pic>
    <xdr:clientData/>
  </xdr:twoCellAnchor>
  <xdr:twoCellAnchor editAs="oneCell">
    <xdr:from>
      <xdr:col>12</xdr:col>
      <xdr:colOff>166691</xdr:colOff>
      <xdr:row>44</xdr:row>
      <xdr:rowOff>21735</xdr:rowOff>
    </xdr:from>
    <xdr:to>
      <xdr:col>12</xdr:col>
      <xdr:colOff>695330</xdr:colOff>
      <xdr:row>44</xdr:row>
      <xdr:rowOff>295241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C35C71D1-12B5-4965-9951-2A7F146E9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995346" y="15372293"/>
          <a:ext cx="273506" cy="52863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185737</xdr:colOff>
      <xdr:row>40</xdr:row>
      <xdr:rowOff>15183</xdr:rowOff>
    </xdr:from>
    <xdr:to>
      <xdr:col>12</xdr:col>
      <xdr:colOff>681037</xdr:colOff>
      <xdr:row>40</xdr:row>
      <xdr:rowOff>297488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06E1A4B-87B0-45FB-B80F-4AD1791E6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86825" y="14216958"/>
          <a:ext cx="495300" cy="282305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9</xdr:row>
      <xdr:rowOff>433388</xdr:rowOff>
    </xdr:from>
    <xdr:to>
      <xdr:col>7</xdr:col>
      <xdr:colOff>271522</xdr:colOff>
      <xdr:row>9</xdr:row>
      <xdr:rowOff>1928824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1EF48C1-5F6C-47B3-912B-29778F29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3876" y="3090863"/>
          <a:ext cx="8124884" cy="1495436"/>
        </a:xfrm>
        <a:prstGeom prst="rect">
          <a:avLst/>
        </a:prstGeom>
      </xdr:spPr>
    </xdr:pic>
    <xdr:clientData/>
  </xdr:twoCellAnchor>
  <xdr:twoCellAnchor>
    <xdr:from>
      <xdr:col>9</xdr:col>
      <xdr:colOff>881063</xdr:colOff>
      <xdr:row>0</xdr:row>
      <xdr:rowOff>128588</xdr:rowOff>
    </xdr:from>
    <xdr:to>
      <xdr:col>10</xdr:col>
      <xdr:colOff>538163</xdr:colOff>
      <xdr:row>4</xdr:row>
      <xdr:rowOff>14287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3F8C40-6AEA-6096-CA44-88A3EB80B0CA}"/>
            </a:ext>
          </a:extLst>
        </xdr:cNvPr>
        <xdr:cNvSpPr txBox="1"/>
      </xdr:nvSpPr>
      <xdr:spPr>
        <a:xfrm>
          <a:off x="11329988" y="128588"/>
          <a:ext cx="628650" cy="671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/>
            <a:t>A2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B8CF-98AE-4DC9-9DC6-C45CB37DF509}">
  <dimension ref="A1:K53"/>
  <sheetViews>
    <sheetView showGridLines="0" tabSelected="1" zoomScaleNormal="100" workbookViewId="0">
      <selection activeCell="B41" sqref="B41"/>
    </sheetView>
  </sheetViews>
  <sheetFormatPr defaultColWidth="8" defaultRowHeight="11.65" x14ac:dyDescent="0.35"/>
  <cols>
    <col min="1" max="1" width="14.625" style="1" customWidth="1"/>
    <col min="2" max="2" width="35.8125" style="2" customWidth="1"/>
    <col min="3" max="3" width="14.4375" style="2" customWidth="1"/>
    <col min="4" max="4" width="11.6875" style="1" customWidth="1"/>
    <col min="5" max="5" width="11.25" style="1" hidden="1" customWidth="1"/>
    <col min="6" max="6" width="13.4375" style="1" customWidth="1"/>
    <col min="7" max="7" width="13.5" style="1" customWidth="1"/>
    <col min="8" max="8" width="10.5" style="48" customWidth="1"/>
    <col min="9" max="16384" width="8" style="2"/>
  </cols>
  <sheetData>
    <row r="1" spans="1:11" ht="16.5" customHeight="1" x14ac:dyDescent="0.35"/>
    <row r="2" spans="1:11" ht="26" customHeight="1" x14ac:dyDescent="0.35">
      <c r="B2" s="129" t="s">
        <v>0</v>
      </c>
      <c r="C2" s="129"/>
      <c r="D2" s="129"/>
      <c r="E2" s="129"/>
      <c r="F2" s="129"/>
      <c r="G2" s="129"/>
      <c r="H2" s="56" t="s">
        <v>53</v>
      </c>
    </row>
    <row r="3" spans="1:11" ht="12" customHeight="1" x14ac:dyDescent="0.35">
      <c r="B3" s="129"/>
      <c r="C3" s="129"/>
      <c r="D3" s="129"/>
      <c r="E3" s="129"/>
      <c r="F3" s="129"/>
      <c r="G3" s="129"/>
      <c r="H3" s="49"/>
    </row>
    <row r="4" spans="1:11" ht="12" customHeight="1" x14ac:dyDescent="0.35">
      <c r="B4" s="129"/>
      <c r="C4" s="129"/>
      <c r="D4" s="129"/>
      <c r="E4" s="129"/>
      <c r="F4" s="129"/>
      <c r="G4" s="129"/>
      <c r="H4" s="49"/>
    </row>
    <row r="5" spans="1:11" ht="12" customHeight="1" x14ac:dyDescent="0.35">
      <c r="B5" s="129"/>
      <c r="C5" s="129"/>
      <c r="D5" s="129"/>
      <c r="E5" s="129"/>
      <c r="F5" s="129"/>
      <c r="G5" s="129"/>
      <c r="H5" s="49"/>
    </row>
    <row r="6" spans="1:11" ht="12" customHeight="1" x14ac:dyDescent="0.35">
      <c r="B6" s="129"/>
      <c r="C6" s="129"/>
      <c r="D6" s="129"/>
      <c r="E6" s="129"/>
      <c r="F6" s="129"/>
      <c r="G6" s="129"/>
      <c r="H6" s="49"/>
    </row>
    <row r="7" spans="1:11" ht="56" customHeight="1" x14ac:dyDescent="0.85">
      <c r="A7" s="126" t="s">
        <v>30</v>
      </c>
      <c r="B7" s="126"/>
      <c r="C7" s="126"/>
      <c r="D7" s="126"/>
      <c r="E7" s="126"/>
      <c r="F7" s="126"/>
      <c r="G7" s="126"/>
      <c r="H7" s="50"/>
      <c r="K7" s="48"/>
    </row>
    <row r="8" spans="1:11" s="10" customFormat="1" ht="21" customHeight="1" x14ac:dyDescent="0.55000000000000004">
      <c r="A8" s="9" t="s">
        <v>1</v>
      </c>
      <c r="B8" s="101" t="s">
        <v>125</v>
      </c>
      <c r="F8" s="62" t="s">
        <v>36</v>
      </c>
      <c r="G8" s="65" t="s">
        <v>61</v>
      </c>
      <c r="H8" s="64"/>
    </row>
    <row r="9" spans="1:11" s="10" customFormat="1" ht="21" customHeight="1" x14ac:dyDescent="0.55000000000000004">
      <c r="A9" s="9" t="s">
        <v>2</v>
      </c>
      <c r="B9" s="10" t="s">
        <v>3</v>
      </c>
      <c r="D9" s="9"/>
      <c r="E9" s="9"/>
      <c r="F9" s="9" t="s">
        <v>93</v>
      </c>
      <c r="G9" s="9" t="s">
        <v>12</v>
      </c>
      <c r="H9" s="82"/>
    </row>
    <row r="10" spans="1:11" s="10" customFormat="1" ht="21" customHeight="1" x14ac:dyDescent="0.55000000000000004">
      <c r="A10" s="9" t="s">
        <v>4</v>
      </c>
      <c r="B10" s="10" t="s">
        <v>60</v>
      </c>
      <c r="D10" s="9"/>
      <c r="E10" s="9"/>
      <c r="F10" s="138" t="s">
        <v>129</v>
      </c>
      <c r="G10" s="138"/>
      <c r="H10" s="66">
        <v>300</v>
      </c>
    </row>
    <row r="11" spans="1:11" s="10" customFormat="1" ht="21" customHeight="1" x14ac:dyDescent="0.55000000000000004">
      <c r="A11" s="43" t="s">
        <v>94</v>
      </c>
      <c r="B11" s="67"/>
      <c r="C11" s="83"/>
      <c r="D11" s="9"/>
      <c r="E11" s="9"/>
      <c r="F11" s="63" t="s">
        <v>97</v>
      </c>
      <c r="H11" s="66"/>
    </row>
    <row r="12" spans="1:11" s="10" customFormat="1" ht="21" customHeight="1" x14ac:dyDescent="0.55000000000000004">
      <c r="A12" s="9" t="s">
        <v>95</v>
      </c>
      <c r="B12" s="67"/>
      <c r="E12" s="102"/>
      <c r="F12" s="139" t="s">
        <v>98</v>
      </c>
      <c r="G12" s="139"/>
      <c r="H12" s="66">
        <v>12</v>
      </c>
    </row>
    <row r="13" spans="1:11" s="27" customFormat="1" ht="37.5" customHeight="1" x14ac:dyDescent="0.55000000000000004">
      <c r="A13" s="25"/>
      <c r="D13" s="25"/>
      <c r="E13" s="25"/>
      <c r="F13" s="25" t="s">
        <v>12</v>
      </c>
      <c r="G13" s="25"/>
      <c r="H13" s="81"/>
    </row>
    <row r="14" spans="1:11" s="27" customFormat="1" ht="21" customHeight="1" x14ac:dyDescent="0.55000000000000004">
      <c r="A14" s="25"/>
      <c r="D14" s="25"/>
      <c r="E14" s="25"/>
      <c r="F14" s="25"/>
      <c r="G14" s="25"/>
      <c r="H14" s="51"/>
    </row>
    <row r="15" spans="1:11" s="27" customFormat="1" ht="21" customHeight="1" x14ac:dyDescent="0.55000000000000004">
      <c r="A15" s="25"/>
      <c r="D15" s="25"/>
      <c r="E15" s="25"/>
      <c r="F15" s="25"/>
      <c r="G15" s="25"/>
      <c r="H15" s="51"/>
    </row>
    <row r="16" spans="1:11" s="27" customFormat="1" ht="21" customHeight="1" x14ac:dyDescent="0.55000000000000004">
      <c r="A16" s="25"/>
      <c r="D16" s="25"/>
      <c r="E16" s="25"/>
      <c r="F16" s="25"/>
      <c r="G16" s="25"/>
      <c r="H16" s="51"/>
    </row>
    <row r="17" spans="1:8" s="27" customFormat="1" ht="21" customHeight="1" x14ac:dyDescent="0.55000000000000004">
      <c r="A17" s="25"/>
      <c r="D17" s="25"/>
      <c r="E17" s="25"/>
      <c r="F17" s="25"/>
      <c r="G17" s="25"/>
      <c r="H17" s="51"/>
    </row>
    <row r="18" spans="1:8" s="27" customFormat="1" ht="21" customHeight="1" x14ac:dyDescent="0.55000000000000004">
      <c r="A18" s="25"/>
      <c r="D18" s="25"/>
      <c r="E18" s="25"/>
      <c r="F18" s="25"/>
      <c r="G18" s="25"/>
      <c r="H18" s="51"/>
    </row>
    <row r="19" spans="1:8" s="5" customFormat="1" ht="21" customHeight="1" x14ac:dyDescent="0.45">
      <c r="A19" s="5" t="s">
        <v>18</v>
      </c>
      <c r="B19" s="73" t="s">
        <v>22</v>
      </c>
      <c r="C19" s="68">
        <v>381</v>
      </c>
      <c r="D19" s="47" t="s">
        <v>21</v>
      </c>
      <c r="E19" s="68">
        <f>C19-F19</f>
        <v>368.3</v>
      </c>
      <c r="F19" s="47">
        <v>12.7</v>
      </c>
      <c r="G19" s="59">
        <f>C19-F19</f>
        <v>368.3</v>
      </c>
      <c r="H19" s="52">
        <f>C19+F19</f>
        <v>393.7</v>
      </c>
    </row>
    <row r="20" spans="1:8" s="5" customFormat="1" ht="21" customHeight="1" x14ac:dyDescent="0.45">
      <c r="A20" s="5" t="s">
        <v>19</v>
      </c>
      <c r="B20" s="73" t="s">
        <v>48</v>
      </c>
      <c r="C20" s="69">
        <v>114.3</v>
      </c>
      <c r="D20" s="47" t="s">
        <v>21</v>
      </c>
      <c r="E20" s="68">
        <f>C20-F20</f>
        <v>107.95</v>
      </c>
      <c r="F20" s="47">
        <v>6.35</v>
      </c>
      <c r="G20" s="59">
        <f t="shared" ref="G20:G21" si="0">C20-F20</f>
        <v>107.95</v>
      </c>
      <c r="H20" s="52">
        <f t="shared" ref="H20:H21" si="1">C20+F20</f>
        <v>120.64999999999999</v>
      </c>
    </row>
    <row r="21" spans="1:8" s="5" customFormat="1" ht="21" customHeight="1" x14ac:dyDescent="0.45">
      <c r="A21" s="5" t="s">
        <v>20</v>
      </c>
      <c r="B21" s="73" t="s">
        <v>23</v>
      </c>
      <c r="C21" s="69">
        <v>151.88999999999999</v>
      </c>
      <c r="D21" s="47" t="s">
        <v>21</v>
      </c>
      <c r="E21" s="68">
        <f>C21-F21</f>
        <v>150.36999999999998</v>
      </c>
      <c r="F21" s="47">
        <v>1.52</v>
      </c>
      <c r="G21" s="59">
        <f t="shared" si="0"/>
        <v>150.36999999999998</v>
      </c>
      <c r="H21" s="52">
        <f t="shared" si="1"/>
        <v>153.41</v>
      </c>
    </row>
    <row r="22" spans="1:8" s="5" customFormat="1" ht="39.75" customHeight="1" x14ac:dyDescent="0.45">
      <c r="A22" s="4"/>
      <c r="B22" s="5" t="s">
        <v>31</v>
      </c>
      <c r="C22" s="97">
        <v>3</v>
      </c>
      <c r="D22" s="4"/>
      <c r="E22" s="4"/>
      <c r="F22" s="3" t="s">
        <v>32</v>
      </c>
      <c r="G22" s="4" t="s">
        <v>12</v>
      </c>
      <c r="H22" s="47"/>
    </row>
    <row r="23" spans="1:8" s="45" customFormat="1" ht="16.05" customHeight="1" x14ac:dyDescent="0.4">
      <c r="A23" s="44" t="s">
        <v>84</v>
      </c>
      <c r="B23" s="44" t="s">
        <v>29</v>
      </c>
      <c r="C23" s="45" t="s">
        <v>12</v>
      </c>
      <c r="D23" s="46"/>
      <c r="E23" s="44"/>
      <c r="F23" s="80" t="s">
        <v>88</v>
      </c>
      <c r="G23" s="46" t="str">
        <f>_xlfn.XLOOKUP(F23,'A2'!L38:L45,'A2'!K38:K45,0,0)</f>
        <v>AYIEC871</v>
      </c>
      <c r="H23" s="53"/>
    </row>
    <row r="24" spans="1:8" s="45" customFormat="1" ht="16.05" customHeight="1" x14ac:dyDescent="0.4">
      <c r="A24" s="44" t="s">
        <v>85</v>
      </c>
      <c r="B24" s="44" t="s">
        <v>29</v>
      </c>
      <c r="D24" s="46"/>
      <c r="E24" s="44"/>
      <c r="F24" s="80" t="s">
        <v>92</v>
      </c>
      <c r="G24" s="46" t="str">
        <f>_xlfn.XLOOKUP(F24,'A2'!L38:L45,'A2'!K38:K45,0,0)</f>
        <v>AYNEC872</v>
      </c>
      <c r="H24" s="53"/>
    </row>
    <row r="25" spans="1:8" s="45" customFormat="1" ht="16.05" customHeight="1" x14ac:dyDescent="0.4">
      <c r="A25" s="44" t="s">
        <v>86</v>
      </c>
      <c r="B25" s="44" t="s">
        <v>29</v>
      </c>
      <c r="D25" s="46"/>
      <c r="E25" s="44"/>
      <c r="F25" s="80" t="s">
        <v>91</v>
      </c>
      <c r="G25" s="46" t="str">
        <f>_xlfn.XLOOKUP(F25,'A2'!L38:L45,'A2'!K38:K45,0,0)</f>
        <v xml:space="preserve">AYHEC871 </v>
      </c>
      <c r="H25" s="53"/>
    </row>
    <row r="26" spans="1:8" s="45" customFormat="1" ht="16.05" customHeight="1" x14ac:dyDescent="0.4">
      <c r="A26" s="44" t="s">
        <v>8</v>
      </c>
      <c r="B26" s="44" t="s">
        <v>96</v>
      </c>
      <c r="D26" s="46"/>
      <c r="E26" s="44"/>
      <c r="F26" s="103" t="s">
        <v>101</v>
      </c>
      <c r="G26" s="104" t="s">
        <v>107</v>
      </c>
    </row>
    <row r="27" spans="1:8" s="10" customFormat="1" ht="36" customHeight="1" x14ac:dyDescent="0.6">
      <c r="A27" s="12" t="s">
        <v>13</v>
      </c>
      <c r="D27" s="9"/>
      <c r="E27" s="9"/>
      <c r="F27" s="9"/>
      <c r="G27" s="9"/>
      <c r="H27" s="43"/>
    </row>
    <row r="28" spans="1:8" s="10" customFormat="1" ht="21" customHeight="1" x14ac:dyDescent="0.55000000000000004">
      <c r="A28" s="9"/>
      <c r="D28" s="9"/>
      <c r="E28" s="9"/>
      <c r="F28" s="9"/>
      <c r="G28" s="9"/>
      <c r="H28" s="43"/>
    </row>
    <row r="29" spans="1:8" s="10" customFormat="1" ht="21" customHeight="1" x14ac:dyDescent="0.55000000000000004">
      <c r="A29" s="131" t="s">
        <v>5</v>
      </c>
      <c r="B29" s="132" t="s">
        <v>6</v>
      </c>
      <c r="C29" s="131" t="s">
        <v>17</v>
      </c>
      <c r="D29" s="131" t="s">
        <v>49</v>
      </c>
      <c r="E29" s="134" t="s">
        <v>7</v>
      </c>
      <c r="F29" s="136" t="s">
        <v>50</v>
      </c>
      <c r="G29" s="128" t="s">
        <v>51</v>
      </c>
      <c r="H29" s="128"/>
    </row>
    <row r="30" spans="1:8" s="10" customFormat="1" ht="21" customHeight="1" x14ac:dyDescent="0.55000000000000004">
      <c r="A30" s="131"/>
      <c r="B30" s="133"/>
      <c r="C30" s="131"/>
      <c r="D30" s="131"/>
      <c r="E30" s="135"/>
      <c r="F30" s="137"/>
      <c r="G30" s="134"/>
      <c r="H30" s="128"/>
    </row>
    <row r="31" spans="1:8" s="16" customFormat="1" ht="21" customHeight="1" x14ac:dyDescent="0.55000000000000004">
      <c r="A31" s="6">
        <v>1</v>
      </c>
      <c r="B31" s="13" t="s">
        <v>8</v>
      </c>
      <c r="C31" s="14" t="str">
        <f>F26</f>
        <v>Pharmed</v>
      </c>
      <c r="D31" s="7" t="str">
        <f>G26</f>
        <v>AY242602</v>
      </c>
      <c r="E31" s="15" t="e">
        <f>D31*#REF!*(#REF!+#REF!)</f>
        <v>#VALUE!</v>
      </c>
      <c r="F31" s="60" t="s">
        <v>131</v>
      </c>
      <c r="G31" s="57" t="s">
        <v>54</v>
      </c>
      <c r="H31" s="61"/>
    </row>
    <row r="32" spans="1:8" s="16" customFormat="1" ht="21" customHeight="1" x14ac:dyDescent="0.55000000000000004">
      <c r="A32" s="7">
        <v>2</v>
      </c>
      <c r="B32" s="17" t="s">
        <v>56</v>
      </c>
      <c r="C32" s="79" t="str">
        <f t="shared" ref="C32:D34" si="2">F23</f>
        <v>เขียว</v>
      </c>
      <c r="D32" s="76" t="str">
        <f t="shared" si="2"/>
        <v>AYIEC871</v>
      </c>
      <c r="E32" s="14"/>
      <c r="F32" s="14">
        <f>H10*1</f>
        <v>300</v>
      </c>
      <c r="G32" s="14" t="s">
        <v>55</v>
      </c>
      <c r="H32" s="61"/>
    </row>
    <row r="33" spans="1:8" s="16" customFormat="1" ht="21" customHeight="1" x14ac:dyDescent="0.55000000000000004">
      <c r="A33" s="7"/>
      <c r="B33" s="17" t="s">
        <v>57</v>
      </c>
      <c r="C33" s="79" t="str">
        <f t="shared" si="2"/>
        <v>ม่วง</v>
      </c>
      <c r="D33" s="77" t="str">
        <f t="shared" si="2"/>
        <v>AYNEC872</v>
      </c>
      <c r="E33" s="14"/>
      <c r="F33" s="14">
        <f>H10*1</f>
        <v>300</v>
      </c>
      <c r="G33" s="14" t="s">
        <v>55</v>
      </c>
      <c r="H33" s="61"/>
    </row>
    <row r="34" spans="1:8" s="16" customFormat="1" ht="21" customHeight="1" x14ac:dyDescent="0.55000000000000004">
      <c r="A34" s="7"/>
      <c r="B34" s="17" t="s">
        <v>58</v>
      </c>
      <c r="C34" s="75" t="str">
        <f t="shared" si="2"/>
        <v>ฟ้า</v>
      </c>
      <c r="D34" s="78" t="str">
        <f t="shared" si="2"/>
        <v xml:space="preserve">AYHEC871 </v>
      </c>
      <c r="E34" s="14"/>
      <c r="F34" s="14">
        <f>H10*1</f>
        <v>300</v>
      </c>
      <c r="G34" s="14" t="s">
        <v>55</v>
      </c>
      <c r="H34" s="61"/>
    </row>
    <row r="35" spans="1:8" s="16" customFormat="1" ht="21" customHeight="1" x14ac:dyDescent="0.55000000000000004">
      <c r="A35" s="7"/>
      <c r="B35" s="17" t="s">
        <v>59</v>
      </c>
      <c r="C35" s="74"/>
      <c r="D35" s="14"/>
      <c r="E35" s="14"/>
      <c r="F35" s="14"/>
      <c r="G35" s="14" t="s">
        <v>55</v>
      </c>
      <c r="H35" s="61"/>
    </row>
    <row r="36" spans="1:8" s="16" customFormat="1" ht="21" customHeight="1" x14ac:dyDescent="0.55000000000000004">
      <c r="A36" s="7">
        <v>3</v>
      </c>
      <c r="B36" s="13" t="s">
        <v>9</v>
      </c>
      <c r="C36" s="17"/>
      <c r="D36" s="14"/>
      <c r="E36" s="14"/>
      <c r="F36" s="14">
        <v>2</v>
      </c>
      <c r="G36" s="14" t="s">
        <v>55</v>
      </c>
      <c r="H36" s="61"/>
    </row>
    <row r="37" spans="1:8" s="16" customFormat="1" ht="21" customHeight="1" x14ac:dyDescent="0.55000000000000004">
      <c r="A37" s="7">
        <v>4</v>
      </c>
      <c r="B37" s="13" t="s">
        <v>14</v>
      </c>
      <c r="C37" s="18"/>
      <c r="D37" s="19"/>
      <c r="E37" s="14"/>
      <c r="F37" s="14">
        <v>2</v>
      </c>
      <c r="G37" s="14" t="s">
        <v>55</v>
      </c>
      <c r="H37" s="61"/>
    </row>
    <row r="38" spans="1:8" s="16" customFormat="1" ht="21" customHeight="1" x14ac:dyDescent="0.55000000000000004">
      <c r="A38" s="7">
        <v>5</v>
      </c>
      <c r="B38" s="20" t="s">
        <v>15</v>
      </c>
      <c r="C38" s="19"/>
      <c r="D38" s="14"/>
      <c r="E38" s="14"/>
      <c r="F38" s="14">
        <f>H10/10</f>
        <v>30</v>
      </c>
      <c r="G38" s="14" t="s">
        <v>55</v>
      </c>
      <c r="H38" s="61"/>
    </row>
    <row r="39" spans="1:8" s="16" customFormat="1" ht="21" customHeight="1" x14ac:dyDescent="0.55000000000000004">
      <c r="A39" s="7">
        <v>6</v>
      </c>
      <c r="B39" s="20" t="s">
        <v>10</v>
      </c>
      <c r="C39" s="19"/>
      <c r="D39" s="14"/>
      <c r="E39" s="14"/>
      <c r="F39" s="14">
        <f>H10</f>
        <v>300</v>
      </c>
      <c r="G39" s="14" t="s">
        <v>55</v>
      </c>
      <c r="H39" s="61"/>
    </row>
    <row r="40" spans="1:8" s="16" customFormat="1" ht="21" customHeight="1" x14ac:dyDescent="0.55000000000000004">
      <c r="A40" s="7">
        <v>7</v>
      </c>
      <c r="B40" s="20" t="s">
        <v>11</v>
      </c>
      <c r="C40" s="19"/>
      <c r="D40" s="19"/>
      <c r="E40" s="14"/>
      <c r="F40" s="14">
        <v>2</v>
      </c>
      <c r="G40" s="14" t="s">
        <v>55</v>
      </c>
      <c r="H40" s="61"/>
    </row>
    <row r="41" spans="1:8" s="16" customFormat="1" ht="21" customHeight="1" x14ac:dyDescent="0.55000000000000004">
      <c r="A41" s="8">
        <v>8</v>
      </c>
      <c r="B41" s="105" t="s">
        <v>132</v>
      </c>
      <c r="C41" s="13"/>
      <c r="D41" s="19"/>
      <c r="E41" s="14"/>
      <c r="F41" s="14">
        <v>2</v>
      </c>
      <c r="G41" s="14" t="s">
        <v>55</v>
      </c>
      <c r="H41" s="61"/>
    </row>
    <row r="42" spans="1:8" s="16" customFormat="1" ht="21" customHeight="1" x14ac:dyDescent="0.55000000000000004">
      <c r="A42" s="8">
        <v>9</v>
      </c>
      <c r="B42" s="13" t="s">
        <v>16</v>
      </c>
      <c r="C42" s="13"/>
      <c r="D42" s="19"/>
      <c r="E42" s="14"/>
      <c r="F42" s="14">
        <v>2</v>
      </c>
      <c r="G42" s="14" t="s">
        <v>55</v>
      </c>
      <c r="H42" s="61"/>
    </row>
    <row r="43" spans="1:8" s="16" customFormat="1" ht="21" customHeight="1" x14ac:dyDescent="0.55000000000000004">
      <c r="A43" s="21"/>
      <c r="B43" s="22"/>
      <c r="C43" s="22"/>
      <c r="D43" s="21"/>
      <c r="E43" s="23"/>
      <c r="F43" s="23"/>
      <c r="G43" s="23"/>
      <c r="H43" s="54"/>
    </row>
    <row r="44" spans="1:8" s="16" customFormat="1" ht="21" customHeight="1" x14ac:dyDescent="0.55000000000000004">
      <c r="A44" s="21"/>
      <c r="B44" s="22"/>
      <c r="C44" s="22"/>
      <c r="D44" s="21"/>
      <c r="E44" s="23"/>
      <c r="F44" s="23"/>
      <c r="G44" s="23"/>
      <c r="H44" s="54"/>
    </row>
    <row r="45" spans="1:8" s="16" customFormat="1" ht="21" customHeight="1" x14ac:dyDescent="0.55000000000000004">
      <c r="A45" s="21"/>
      <c r="B45" s="22"/>
      <c r="C45" s="22"/>
      <c r="D45" s="21"/>
      <c r="E45" s="23"/>
      <c r="F45" s="23"/>
      <c r="G45" s="23"/>
      <c r="H45" s="54"/>
    </row>
    <row r="46" spans="1:8" s="10" customFormat="1" ht="21" customHeight="1" x14ac:dyDescent="0.55000000000000004">
      <c r="A46" s="9"/>
      <c r="B46" s="24"/>
      <c r="D46" s="9"/>
      <c r="E46" s="9"/>
      <c r="F46" s="9" t="s">
        <v>33</v>
      </c>
      <c r="G46" s="11"/>
      <c r="H46" s="43"/>
    </row>
    <row r="47" spans="1:8" s="10" customFormat="1" ht="21" customHeight="1" x14ac:dyDescent="0.55000000000000004">
      <c r="A47" s="9"/>
      <c r="D47" s="9"/>
      <c r="E47" s="9"/>
      <c r="H47" s="43"/>
    </row>
    <row r="48" spans="1:8" s="10" customFormat="1" ht="18" customHeight="1" x14ac:dyDescent="0.55000000000000004">
      <c r="A48" s="9"/>
      <c r="D48" s="9"/>
      <c r="E48" s="9"/>
      <c r="F48" s="9"/>
      <c r="G48" s="9"/>
      <c r="H48" s="43"/>
    </row>
    <row r="49" spans="1:8" s="10" customFormat="1" ht="18" customHeight="1" x14ac:dyDescent="0.55000000000000004">
      <c r="A49" s="9"/>
      <c r="D49" s="9"/>
      <c r="E49" s="9"/>
      <c r="G49" s="9"/>
      <c r="H49" s="43"/>
    </row>
    <row r="50" spans="1:8" s="10" customFormat="1" ht="18" customHeight="1" x14ac:dyDescent="0.55000000000000004">
      <c r="A50" s="9"/>
      <c r="D50" s="9"/>
      <c r="E50" s="9"/>
      <c r="F50" s="9" t="s">
        <v>34</v>
      </c>
      <c r="G50" s="58"/>
      <c r="H50" s="55"/>
    </row>
    <row r="51" spans="1:8" s="10" customFormat="1" ht="18" customHeight="1" x14ac:dyDescent="0.55000000000000004">
      <c r="A51" s="9"/>
      <c r="D51" s="9"/>
      <c r="E51" s="9"/>
      <c r="F51" s="9"/>
      <c r="G51" s="9"/>
      <c r="H51" s="43"/>
    </row>
    <row r="52" spans="1:8" s="10" customFormat="1" ht="18" customHeight="1" x14ac:dyDescent="0.55000000000000004">
      <c r="A52" s="9"/>
      <c r="D52" s="9"/>
      <c r="E52" s="9"/>
      <c r="F52" s="9"/>
      <c r="G52" s="9"/>
      <c r="H52" s="43"/>
    </row>
    <row r="53" spans="1:8" s="10" customFormat="1" ht="18" customHeight="1" x14ac:dyDescent="0.55000000000000004">
      <c r="A53" s="9"/>
      <c r="D53" s="9"/>
      <c r="E53" s="9"/>
      <c r="F53" s="9"/>
      <c r="G53" s="9"/>
      <c r="H53" s="43"/>
    </row>
  </sheetData>
  <sheetProtection algorithmName="SHA-512" hashValue="nOVrh9EfmhyFNpdX8d4O/Vb6MlUzEoQwzPRNqVqXjbkZfRRRHpNthYW99nK5XCKwqtX8MnMFcB2s5R5Lh0cAjQ==" saltValue="YLqaI7W2YbbpRm+4CsV4CA==" spinCount="100000" sheet="1" objects="1" scenarios="1"/>
  <protectedRanges>
    <protectedRange sqref="B41 G26 F27 F25 F26 F24 F23 C22 C22 H8 H9 H10 H11 H12 B8 B12 B11" name="Range2"/>
  </protectedRanges>
  <mergeCells count="12">
    <mergeCell ref="H29:H30"/>
    <mergeCell ref="A7:G7"/>
    <mergeCell ref="B2:G6"/>
    <mergeCell ref="A29:A30"/>
    <mergeCell ref="B29:B30"/>
    <mergeCell ref="C29:C30"/>
    <mergeCell ref="D29:D30"/>
    <mergeCell ref="E29:E30"/>
    <mergeCell ref="F29:F30"/>
    <mergeCell ref="G29:G30"/>
    <mergeCell ref="F10:G10"/>
    <mergeCell ref="F12:G12"/>
  </mergeCells>
  <phoneticPr fontId="20" type="noConversion"/>
  <dataValidations count="1">
    <dataValidation type="list" allowBlank="1" showInputMessage="1" showErrorMessage="1" sqref="B41" xr:uid="{009A6FE5-DD26-4B76-9373-F3B948CEA9FB}">
      <formula1>"กาวกวน Cyclohexane, LOCTITE"</formula1>
    </dataValidation>
  </dataValidations>
  <pageMargins left="0.51181102362204722" right="0.31496062992125984" top="0.35433070866141736" bottom="0.15748031496062992" header="0.31496062992125984" footer="0.31496062992125984"/>
  <pageSetup paperSize="9" scale="7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8BCEDBD-607D-4A0E-BC29-6FA36C2B64EA}">
          <x14:formula1>
            <xm:f>'A2'!$D$37:$F$37</xm:f>
          </x14:formula1>
          <xm:sqref>F26</xm:sqref>
        </x14:dataValidation>
        <x14:dataValidation type="list" allowBlank="1" showInputMessage="1" showErrorMessage="1" xr:uid="{7B084DA1-1168-4D19-B434-CCF3FD04C9C5}">
          <x14:formula1>
            <xm:f>_xlfn.XLOOKUP($F$26,'A2'!$D$37:$F$37,'A2'!$D$38:$F$45)</xm:f>
          </x14:formula1>
          <xm:sqref>G26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332C-E13E-40F9-9BC4-83CED49F9C2B}">
  <sheetPr>
    <pageSetUpPr fitToPage="1"/>
  </sheetPr>
  <dimension ref="A1:M45"/>
  <sheetViews>
    <sheetView topLeftCell="A27" workbookViewId="0">
      <selection activeCell="G12" sqref="G12"/>
    </sheetView>
  </sheetViews>
  <sheetFormatPr defaultColWidth="8" defaultRowHeight="11.65" x14ac:dyDescent="0.35"/>
  <cols>
    <col min="1" max="2" width="14.9375" style="1" customWidth="1"/>
    <col min="3" max="4" width="15.75" style="2" customWidth="1"/>
    <col min="5" max="6" width="18.4375" style="2" customWidth="1"/>
    <col min="7" max="7" width="11.6875" style="1" customWidth="1"/>
    <col min="8" max="8" width="13.6875" style="1" customWidth="1"/>
    <col min="9" max="9" width="13.5" style="2" customWidth="1"/>
    <col min="10" max="10" width="12.75" style="85" bestFit="1" customWidth="1"/>
    <col min="11" max="11" width="10.5" style="2" bestFit="1" customWidth="1"/>
    <col min="12" max="12" width="12.375" style="2" bestFit="1" customWidth="1"/>
    <col min="13" max="13" width="11.9375" style="2" customWidth="1"/>
    <col min="14" max="16384" width="8" style="2"/>
  </cols>
  <sheetData>
    <row r="1" spans="1:11" ht="26" customHeight="1" x14ac:dyDescent="0.35">
      <c r="A1" s="129" t="s">
        <v>130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</row>
    <row r="2" spans="1:11" ht="12" customHeight="1" x14ac:dyDescent="0.35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</row>
    <row r="3" spans="1:11" ht="12" customHeight="1" x14ac:dyDescent="0.35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</row>
    <row r="4" spans="1:11" ht="12" customHeight="1" x14ac:dyDescent="0.35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</row>
    <row r="5" spans="1:11" ht="12" customHeight="1" x14ac:dyDescent="0.35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</row>
    <row r="6" spans="1:11" ht="56" customHeight="1" x14ac:dyDescent="0.85">
      <c r="A6" s="126" t="s">
        <v>35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</row>
    <row r="7" spans="1:11" s="27" customFormat="1" ht="21" customHeight="1" x14ac:dyDescent="0.55000000000000004">
      <c r="A7" s="25" t="s">
        <v>1</v>
      </c>
      <c r="B7" s="25"/>
      <c r="C7" s="26" t="str">
        <f>'A1'!B8</f>
        <v>08-Aug-2026</v>
      </c>
      <c r="D7" s="26"/>
      <c r="E7" s="26"/>
      <c r="F7" s="26"/>
      <c r="H7" s="27" t="s">
        <v>36</v>
      </c>
      <c r="I7" s="84" t="s">
        <v>61</v>
      </c>
      <c r="J7" s="86">
        <f>'A1'!H8</f>
        <v>0</v>
      </c>
      <c r="K7" s="26"/>
    </row>
    <row r="8" spans="1:11" s="27" customFormat="1" ht="25.25" customHeight="1" x14ac:dyDescent="0.55000000000000004">
      <c r="A8" s="25" t="s">
        <v>2</v>
      </c>
      <c r="B8" s="25"/>
      <c r="C8" s="27" t="s">
        <v>3</v>
      </c>
      <c r="G8" s="25"/>
      <c r="H8" s="9" t="s">
        <v>93</v>
      </c>
      <c r="I8" s="9" t="s">
        <v>12</v>
      </c>
      <c r="J8" s="87">
        <f>'A1'!H9</f>
        <v>0</v>
      </c>
    </row>
    <row r="9" spans="1:11" s="27" customFormat="1" ht="25.25" customHeight="1" x14ac:dyDescent="0.55000000000000004">
      <c r="A9" s="25" t="s">
        <v>4</v>
      </c>
      <c r="B9" s="25"/>
      <c r="C9" s="26" t="s">
        <v>99</v>
      </c>
      <c r="G9" s="25"/>
      <c r="H9" s="27" t="s">
        <v>100</v>
      </c>
      <c r="I9" s="26"/>
      <c r="J9" s="84">
        <f>'A1'!H11</f>
        <v>0</v>
      </c>
    </row>
    <row r="10" spans="1:11" s="27" customFormat="1" ht="193.15" customHeight="1" x14ac:dyDescent="0.55000000000000004">
      <c r="A10" s="25"/>
      <c r="B10" s="25"/>
      <c r="G10" s="25"/>
      <c r="H10" s="25"/>
      <c r="J10" s="84"/>
    </row>
    <row r="11" spans="1:11" s="27" customFormat="1" ht="28.9" customHeight="1" x14ac:dyDescent="0.55000000000000004">
      <c r="A11" s="25"/>
      <c r="B11" s="25"/>
      <c r="C11" s="27" t="s">
        <v>18</v>
      </c>
      <c r="D11" s="27" t="s">
        <v>22</v>
      </c>
      <c r="G11" s="95">
        <f>'A1'!G19</f>
        <v>368.3</v>
      </c>
      <c r="H11" s="95">
        <f>'A1'!H19</f>
        <v>393.7</v>
      </c>
      <c r="I11" s="25" t="s">
        <v>21</v>
      </c>
      <c r="J11" s="84"/>
    </row>
    <row r="12" spans="1:11" s="27" customFormat="1" ht="21" customHeight="1" x14ac:dyDescent="0.55000000000000004">
      <c r="A12" s="25"/>
      <c r="B12" s="25"/>
      <c r="C12" s="27" t="s">
        <v>19</v>
      </c>
      <c r="D12" s="27" t="s">
        <v>48</v>
      </c>
      <c r="G12" s="96">
        <f>'A1'!G20</f>
        <v>107.95</v>
      </c>
      <c r="H12" s="95">
        <f>'A1'!H20</f>
        <v>120.64999999999999</v>
      </c>
      <c r="I12" s="25" t="s">
        <v>21</v>
      </c>
      <c r="J12" s="84"/>
    </row>
    <row r="13" spans="1:11" s="27" customFormat="1" ht="21" customHeight="1" x14ac:dyDescent="0.55000000000000004">
      <c r="A13" s="25"/>
      <c r="B13" s="25"/>
      <c r="C13" s="27" t="s">
        <v>20</v>
      </c>
      <c r="D13" s="27" t="s">
        <v>23</v>
      </c>
      <c r="G13" s="96">
        <f>'A1'!G21</f>
        <v>150.36999999999998</v>
      </c>
      <c r="H13" s="95">
        <f>'A1'!H21</f>
        <v>153.41</v>
      </c>
      <c r="I13" s="25" t="s">
        <v>21</v>
      </c>
      <c r="J13" s="84"/>
    </row>
    <row r="14" spans="1:11" s="27" customFormat="1" ht="21" customHeight="1" x14ac:dyDescent="0.55000000000000004">
      <c r="A14" s="25"/>
      <c r="B14" s="25"/>
      <c r="C14" s="27" t="s">
        <v>31</v>
      </c>
      <c r="E14" s="27">
        <f>'A1'!C22</f>
        <v>3</v>
      </c>
      <c r="G14" s="25"/>
      <c r="H14" s="25"/>
      <c r="J14" s="84"/>
    </row>
    <row r="15" spans="1:11" s="27" customFormat="1" ht="21" customHeight="1" x14ac:dyDescent="0.55000000000000004">
      <c r="A15" s="25"/>
      <c r="B15" s="25"/>
      <c r="C15" s="27" t="s">
        <v>126</v>
      </c>
      <c r="E15" s="84" t="str">
        <f>'A1'!F23</f>
        <v>เขียว</v>
      </c>
      <c r="F15" s="27" t="s">
        <v>12</v>
      </c>
      <c r="G15" s="25"/>
      <c r="H15" s="25"/>
      <c r="J15" s="84"/>
    </row>
    <row r="16" spans="1:11" s="27" customFormat="1" ht="21" customHeight="1" x14ac:dyDescent="0.55000000000000004">
      <c r="C16" s="27" t="s">
        <v>127</v>
      </c>
      <c r="E16" s="84" t="str">
        <f>'A1'!F24</f>
        <v>ม่วง</v>
      </c>
      <c r="G16" s="25"/>
      <c r="H16" s="25"/>
      <c r="J16" s="84"/>
    </row>
    <row r="17" spans="1:10" s="5" customFormat="1" ht="21" customHeight="1" x14ac:dyDescent="0.55000000000000004">
      <c r="A17" s="4"/>
      <c r="B17" s="4"/>
      <c r="C17" s="27" t="s">
        <v>128</v>
      </c>
      <c r="E17" s="88" t="str">
        <f>'A1'!F25</f>
        <v>ฟ้า</v>
      </c>
      <c r="F17" s="28"/>
      <c r="G17" s="4"/>
      <c r="H17" s="4"/>
      <c r="J17" s="88"/>
    </row>
    <row r="18" spans="1:10" s="27" customFormat="1" ht="34.15" customHeight="1" x14ac:dyDescent="0.7">
      <c r="A18" s="41" t="s">
        <v>37</v>
      </c>
      <c r="B18" s="41"/>
      <c r="G18" s="25"/>
      <c r="H18" s="25"/>
      <c r="J18" s="84"/>
    </row>
    <row r="19" spans="1:10" s="27" customFormat="1" ht="21" customHeight="1" x14ac:dyDescent="0.55000000000000004">
      <c r="A19" s="25"/>
      <c r="B19" s="25"/>
      <c r="G19" s="25"/>
      <c r="H19" s="25"/>
      <c r="J19" s="84"/>
    </row>
    <row r="20" spans="1:10" s="27" customFormat="1" ht="30.4" customHeight="1" x14ac:dyDescent="0.55000000000000004">
      <c r="A20" s="127" t="s">
        <v>5</v>
      </c>
      <c r="B20" s="112" t="s">
        <v>37</v>
      </c>
      <c r="C20" s="113"/>
      <c r="D20" s="113"/>
      <c r="E20" s="114"/>
      <c r="F20" s="128" t="s">
        <v>44</v>
      </c>
      <c r="G20" s="118" t="s">
        <v>45</v>
      </c>
      <c r="H20" s="119"/>
      <c r="I20" s="122" t="s">
        <v>52</v>
      </c>
      <c r="J20" s="123"/>
    </row>
    <row r="21" spans="1:10" s="27" customFormat="1" ht="21" customHeight="1" x14ac:dyDescent="0.55000000000000004">
      <c r="A21" s="127"/>
      <c r="B21" s="115"/>
      <c r="C21" s="116"/>
      <c r="D21" s="116"/>
      <c r="E21" s="117"/>
      <c r="F21" s="128"/>
      <c r="G21" s="120"/>
      <c r="H21" s="121"/>
      <c r="I21" s="42" t="s">
        <v>46</v>
      </c>
      <c r="J21" s="89" t="s">
        <v>47</v>
      </c>
    </row>
    <row r="22" spans="1:10" s="33" customFormat="1" ht="21" customHeight="1" x14ac:dyDescent="0.55000000000000004">
      <c r="A22" s="29">
        <v>1</v>
      </c>
      <c r="B22" s="106" t="s">
        <v>18</v>
      </c>
      <c r="C22" s="107"/>
      <c r="D22" s="107"/>
      <c r="E22" s="108"/>
      <c r="F22" s="31"/>
      <c r="G22" s="124" t="s">
        <v>12</v>
      </c>
      <c r="H22" s="125"/>
      <c r="I22" s="32"/>
      <c r="J22" s="90"/>
    </row>
    <row r="23" spans="1:10" s="33" customFormat="1" ht="21" customHeight="1" x14ac:dyDescent="0.55000000000000004">
      <c r="A23" s="31">
        <v>2</v>
      </c>
      <c r="B23" s="106" t="s">
        <v>19</v>
      </c>
      <c r="C23" s="107"/>
      <c r="D23" s="107"/>
      <c r="E23" s="108"/>
      <c r="F23" s="34"/>
      <c r="G23" s="124" t="s">
        <v>12</v>
      </c>
      <c r="H23" s="125"/>
      <c r="I23" s="34"/>
      <c r="J23" s="91"/>
    </row>
    <row r="24" spans="1:10" s="33" customFormat="1" ht="21" customHeight="1" x14ac:dyDescent="0.55000000000000004">
      <c r="A24" s="31">
        <v>3</v>
      </c>
      <c r="B24" s="106" t="s">
        <v>20</v>
      </c>
      <c r="C24" s="107"/>
      <c r="D24" s="107"/>
      <c r="E24" s="108"/>
      <c r="F24" s="34"/>
      <c r="G24" s="124" t="s">
        <v>12</v>
      </c>
      <c r="H24" s="125"/>
      <c r="I24" s="34"/>
      <c r="J24" s="91"/>
    </row>
    <row r="25" spans="1:10" s="33" customFormat="1" ht="21" customHeight="1" x14ac:dyDescent="0.55000000000000004">
      <c r="A25" s="31">
        <v>4</v>
      </c>
      <c r="B25" s="106" t="s">
        <v>38</v>
      </c>
      <c r="C25" s="107"/>
      <c r="D25" s="107"/>
      <c r="E25" s="108"/>
      <c r="F25" s="35"/>
      <c r="G25" s="124" t="s">
        <v>12</v>
      </c>
      <c r="H25" s="125"/>
      <c r="I25" s="34"/>
      <c r="J25" s="91"/>
    </row>
    <row r="26" spans="1:10" s="33" customFormat="1" ht="21" customHeight="1" x14ac:dyDescent="0.55000000000000004">
      <c r="A26" s="31">
        <v>5</v>
      </c>
      <c r="B26" s="106" t="s">
        <v>39</v>
      </c>
      <c r="C26" s="107"/>
      <c r="D26" s="107"/>
      <c r="E26" s="108"/>
      <c r="F26" s="36"/>
      <c r="G26" s="124" t="s">
        <v>12</v>
      </c>
      <c r="H26" s="125"/>
      <c r="I26" s="34"/>
      <c r="J26" s="91"/>
    </row>
    <row r="27" spans="1:10" s="33" customFormat="1" ht="21" customHeight="1" x14ac:dyDescent="0.55000000000000004">
      <c r="A27" s="31">
        <v>6</v>
      </c>
      <c r="B27" s="106" t="s">
        <v>40</v>
      </c>
      <c r="C27" s="107"/>
      <c r="D27" s="107"/>
      <c r="E27" s="108"/>
      <c r="F27" s="36"/>
      <c r="G27" s="124" t="s">
        <v>12</v>
      </c>
      <c r="H27" s="125"/>
      <c r="I27" s="34"/>
      <c r="J27" s="91"/>
    </row>
    <row r="28" spans="1:10" s="33" customFormat="1" ht="21" customHeight="1" x14ac:dyDescent="0.55000000000000004">
      <c r="A28" s="31">
        <v>7</v>
      </c>
      <c r="B28" s="106" t="s">
        <v>41</v>
      </c>
      <c r="C28" s="107"/>
      <c r="D28" s="107"/>
      <c r="E28" s="108"/>
      <c r="F28" s="36"/>
      <c r="G28" s="124" t="s">
        <v>12</v>
      </c>
      <c r="H28" s="125"/>
      <c r="I28" s="34"/>
      <c r="J28" s="91"/>
    </row>
    <row r="29" spans="1:10" s="33" customFormat="1" ht="21" customHeight="1" x14ac:dyDescent="0.55000000000000004">
      <c r="A29" s="36">
        <v>8</v>
      </c>
      <c r="B29" s="106" t="s">
        <v>42</v>
      </c>
      <c r="C29" s="107"/>
      <c r="D29" s="107"/>
      <c r="E29" s="108"/>
      <c r="F29" s="30"/>
      <c r="G29" s="124" t="s">
        <v>12</v>
      </c>
      <c r="H29" s="125"/>
      <c r="I29" s="34"/>
      <c r="J29" s="91"/>
    </row>
    <row r="30" spans="1:10" s="33" customFormat="1" ht="21" customHeight="1" x14ac:dyDescent="0.55000000000000004">
      <c r="A30" s="36">
        <v>9</v>
      </c>
      <c r="B30" s="106" t="s">
        <v>43</v>
      </c>
      <c r="C30" s="107"/>
      <c r="D30" s="107"/>
      <c r="E30" s="108"/>
      <c r="F30" s="30"/>
      <c r="G30" s="124" t="s">
        <v>12</v>
      </c>
      <c r="H30" s="125"/>
      <c r="I30" s="34"/>
      <c r="J30" s="91"/>
    </row>
    <row r="31" spans="1:10" s="33" customFormat="1" ht="21" customHeight="1" x14ac:dyDescent="0.55000000000000004">
      <c r="A31" s="36" t="s">
        <v>12</v>
      </c>
      <c r="B31" s="109" t="s">
        <v>12</v>
      </c>
      <c r="C31" s="110"/>
      <c r="D31" s="110"/>
      <c r="E31" s="111"/>
      <c r="F31" s="30"/>
      <c r="G31" s="124" t="s">
        <v>12</v>
      </c>
      <c r="H31" s="125"/>
      <c r="I31" s="34"/>
      <c r="J31" s="91"/>
    </row>
    <row r="32" spans="1:10" s="33" customFormat="1" ht="21" customHeight="1" x14ac:dyDescent="0.55000000000000004">
      <c r="A32" s="37"/>
      <c r="B32" s="37"/>
      <c r="C32" s="38" t="s">
        <v>12</v>
      </c>
      <c r="D32" s="38"/>
      <c r="E32" s="38"/>
      <c r="F32" s="38"/>
      <c r="G32" s="37"/>
      <c r="H32" s="39"/>
      <c r="J32" s="92"/>
    </row>
    <row r="33" spans="1:13" s="33" customFormat="1" ht="21" customHeight="1" x14ac:dyDescent="0.55000000000000004">
      <c r="A33" s="37"/>
      <c r="B33" s="37"/>
      <c r="C33" s="38"/>
      <c r="D33" s="38"/>
      <c r="E33" s="38"/>
      <c r="F33" s="38"/>
      <c r="G33" s="37"/>
      <c r="H33" s="39"/>
      <c r="J33" s="92"/>
    </row>
    <row r="34" spans="1:13" s="33" customFormat="1" ht="21" customHeight="1" x14ac:dyDescent="0.55000000000000004">
      <c r="A34" s="37"/>
      <c r="B34" s="37"/>
      <c r="C34" s="38"/>
      <c r="D34" s="38"/>
      <c r="E34" s="38"/>
      <c r="F34" s="38"/>
      <c r="G34" s="37"/>
      <c r="H34" s="39"/>
      <c r="J34" s="92"/>
    </row>
    <row r="35" spans="1:13" s="27" customFormat="1" ht="21" customHeight="1" x14ac:dyDescent="0.55000000000000004">
      <c r="A35" s="25"/>
      <c r="B35" s="25"/>
      <c r="C35" s="40"/>
      <c r="D35" s="40"/>
      <c r="E35" s="40"/>
      <c r="G35" s="25"/>
      <c r="H35" s="25" t="s">
        <v>12</v>
      </c>
      <c r="I35" s="26"/>
      <c r="J35" s="84"/>
    </row>
    <row r="36" spans="1:13" s="27" customFormat="1" ht="21" customHeight="1" x14ac:dyDescent="0.55000000000000004">
      <c r="A36" s="130" t="s">
        <v>62</v>
      </c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</row>
    <row r="37" spans="1:13" s="27" customFormat="1" ht="40.9" customHeight="1" x14ac:dyDescent="0.55000000000000004">
      <c r="A37" s="70" t="s">
        <v>63</v>
      </c>
      <c r="B37" s="70" t="s">
        <v>64</v>
      </c>
      <c r="C37" s="70" t="s">
        <v>65</v>
      </c>
      <c r="D37" s="70" t="s">
        <v>101</v>
      </c>
      <c r="E37" s="70" t="s">
        <v>102</v>
      </c>
      <c r="F37" s="70" t="s">
        <v>103</v>
      </c>
      <c r="G37" s="70" t="s">
        <v>66</v>
      </c>
      <c r="H37" s="70" t="s">
        <v>67</v>
      </c>
      <c r="I37" s="70" t="s">
        <v>68</v>
      </c>
      <c r="J37" s="93" t="s">
        <v>69</v>
      </c>
      <c r="K37" s="70" t="s">
        <v>70</v>
      </c>
      <c r="L37" s="70" t="s">
        <v>71</v>
      </c>
      <c r="M37" s="70" t="s">
        <v>69</v>
      </c>
    </row>
    <row r="38" spans="1:13" s="27" customFormat="1" ht="25.25" customHeight="1" x14ac:dyDescent="0.55000000000000004">
      <c r="A38" s="71" t="s">
        <v>72</v>
      </c>
      <c r="B38" s="71">
        <v>1.02</v>
      </c>
      <c r="C38" s="71">
        <v>2.72</v>
      </c>
      <c r="D38" s="71" t="s">
        <v>104</v>
      </c>
      <c r="E38" s="98" t="s">
        <v>109</v>
      </c>
      <c r="F38" s="98" t="s">
        <v>117</v>
      </c>
      <c r="G38" s="71">
        <v>152</v>
      </c>
      <c r="H38" s="71" t="s">
        <v>24</v>
      </c>
      <c r="I38" s="71" t="s">
        <v>87</v>
      </c>
      <c r="J38" s="94"/>
      <c r="K38" s="71" t="s">
        <v>24</v>
      </c>
      <c r="L38" s="71" t="s">
        <v>87</v>
      </c>
      <c r="M38" s="71"/>
    </row>
    <row r="39" spans="1:13" s="27" customFormat="1" ht="25.25" customHeight="1" x14ac:dyDescent="0.55000000000000004">
      <c r="A39" s="71" t="s">
        <v>73</v>
      </c>
      <c r="B39" s="71">
        <v>1.0900000000000001</v>
      </c>
      <c r="C39" s="71">
        <v>2.79</v>
      </c>
      <c r="D39" s="71" t="s">
        <v>105</v>
      </c>
      <c r="E39" s="98" t="s">
        <v>110</v>
      </c>
      <c r="F39" s="98" t="s">
        <v>118</v>
      </c>
      <c r="G39" s="71">
        <v>152</v>
      </c>
      <c r="H39" s="71" t="s">
        <v>24</v>
      </c>
      <c r="I39" s="71" t="s">
        <v>87</v>
      </c>
      <c r="J39" s="94"/>
      <c r="K39" s="71" t="s">
        <v>74</v>
      </c>
      <c r="L39" s="71" t="s">
        <v>89</v>
      </c>
      <c r="M39" s="71"/>
    </row>
    <row r="40" spans="1:13" s="27" customFormat="1" ht="25.25" customHeight="1" x14ac:dyDescent="0.55000000000000004">
      <c r="A40" s="71" t="s">
        <v>75</v>
      </c>
      <c r="B40" s="71">
        <v>1.1399999999999999</v>
      </c>
      <c r="C40" s="71">
        <v>2.84</v>
      </c>
      <c r="D40" s="71" t="s">
        <v>107</v>
      </c>
      <c r="E40" s="98" t="s">
        <v>115</v>
      </c>
      <c r="F40" s="99" t="s">
        <v>119</v>
      </c>
      <c r="G40" s="71">
        <v>152</v>
      </c>
      <c r="H40" s="71" t="s">
        <v>25</v>
      </c>
      <c r="I40" s="71" t="s">
        <v>89</v>
      </c>
      <c r="J40" s="94"/>
      <c r="K40" s="71" t="s">
        <v>25</v>
      </c>
      <c r="L40" s="71" t="s">
        <v>89</v>
      </c>
      <c r="M40" s="71"/>
    </row>
    <row r="41" spans="1:13" s="27" customFormat="1" ht="25.25" customHeight="1" x14ac:dyDescent="0.55000000000000004">
      <c r="A41" s="71" t="s">
        <v>76</v>
      </c>
      <c r="B41" s="71">
        <v>1.22</v>
      </c>
      <c r="C41" s="71">
        <v>2.92</v>
      </c>
      <c r="D41" s="71" t="s">
        <v>108</v>
      </c>
      <c r="E41" s="98" t="s">
        <v>111</v>
      </c>
      <c r="F41" s="98" t="s">
        <v>120</v>
      </c>
      <c r="G41" s="71">
        <v>152</v>
      </c>
      <c r="H41" s="71" t="s">
        <v>25</v>
      </c>
      <c r="I41" s="71" t="s">
        <v>89</v>
      </c>
      <c r="J41" s="94"/>
      <c r="K41" s="71" t="s">
        <v>77</v>
      </c>
      <c r="L41" s="71" t="s">
        <v>90</v>
      </c>
      <c r="M41" s="71"/>
    </row>
    <row r="42" spans="1:13" s="27" customFormat="1" ht="25.25" customHeight="1" x14ac:dyDescent="0.55000000000000004">
      <c r="A42" s="71" t="s">
        <v>78</v>
      </c>
      <c r="B42" s="71">
        <v>1.65</v>
      </c>
      <c r="C42" s="71">
        <v>3.35</v>
      </c>
      <c r="D42" s="71" t="s">
        <v>104</v>
      </c>
      <c r="E42" s="98" t="s">
        <v>112</v>
      </c>
      <c r="F42" s="98" t="s">
        <v>121</v>
      </c>
      <c r="G42" s="71">
        <v>152</v>
      </c>
      <c r="H42" s="71" t="s">
        <v>26</v>
      </c>
      <c r="I42" s="71" t="s">
        <v>91</v>
      </c>
      <c r="J42" s="94"/>
      <c r="K42" s="71" t="s">
        <v>79</v>
      </c>
      <c r="L42" s="71" t="s">
        <v>91</v>
      </c>
      <c r="M42" s="71"/>
    </row>
    <row r="43" spans="1:13" s="27" customFormat="1" ht="25.25" customHeight="1" x14ac:dyDescent="0.55000000000000004">
      <c r="A43" s="71" t="s">
        <v>80</v>
      </c>
      <c r="B43" s="71">
        <v>1.75</v>
      </c>
      <c r="C43" s="71">
        <v>3.45</v>
      </c>
      <c r="D43" s="71" t="s">
        <v>105</v>
      </c>
      <c r="E43" s="99" t="s">
        <v>116</v>
      </c>
      <c r="F43" s="100" t="s">
        <v>122</v>
      </c>
      <c r="G43" s="71">
        <v>152</v>
      </c>
      <c r="H43" s="71" t="s">
        <v>26</v>
      </c>
      <c r="I43" s="71" t="s">
        <v>91</v>
      </c>
      <c r="J43" s="94"/>
      <c r="K43" s="71" t="s">
        <v>81</v>
      </c>
      <c r="L43" s="71" t="s">
        <v>88</v>
      </c>
      <c r="M43" s="71"/>
    </row>
    <row r="44" spans="1:13" s="27" customFormat="1" ht="25.25" customHeight="1" x14ac:dyDescent="0.55000000000000004">
      <c r="A44" s="71" t="s">
        <v>82</v>
      </c>
      <c r="B44" s="71">
        <v>1.85</v>
      </c>
      <c r="C44" s="71">
        <v>3.55</v>
      </c>
      <c r="D44" s="71" t="s">
        <v>106</v>
      </c>
      <c r="E44" s="98" t="s">
        <v>113</v>
      </c>
      <c r="F44" s="98" t="s">
        <v>123</v>
      </c>
      <c r="G44" s="71">
        <v>152</v>
      </c>
      <c r="H44" s="71" t="s">
        <v>27</v>
      </c>
      <c r="I44" s="71" t="s">
        <v>88</v>
      </c>
      <c r="J44" s="94"/>
      <c r="K44" s="71" t="s">
        <v>81</v>
      </c>
      <c r="L44" s="71" t="s">
        <v>88</v>
      </c>
      <c r="M44" s="71"/>
    </row>
    <row r="45" spans="1:13" s="3" customFormat="1" ht="25.25" customHeight="1" x14ac:dyDescent="0.35">
      <c r="A45" s="71" t="s">
        <v>83</v>
      </c>
      <c r="B45" s="71">
        <v>2.06</v>
      </c>
      <c r="C45" s="71">
        <v>3.76</v>
      </c>
      <c r="D45" s="71"/>
      <c r="E45" s="98" t="s">
        <v>114</v>
      </c>
      <c r="F45" s="98" t="s">
        <v>124</v>
      </c>
      <c r="G45" s="71">
        <v>152</v>
      </c>
      <c r="H45" s="72" t="s">
        <v>28</v>
      </c>
      <c r="I45" s="71" t="s">
        <v>92</v>
      </c>
      <c r="J45" s="94"/>
      <c r="K45" s="71" t="s">
        <v>28</v>
      </c>
      <c r="L45" s="71" t="s">
        <v>92</v>
      </c>
      <c r="M45" s="71"/>
    </row>
  </sheetData>
  <mergeCells count="29">
    <mergeCell ref="A36:G36"/>
    <mergeCell ref="H36:M36"/>
    <mergeCell ref="G30:H30"/>
    <mergeCell ref="G31:H31"/>
    <mergeCell ref="G24:H24"/>
    <mergeCell ref="G25:H25"/>
    <mergeCell ref="G26:H26"/>
    <mergeCell ref="G27:H27"/>
    <mergeCell ref="G28:H28"/>
    <mergeCell ref="G29:H29"/>
    <mergeCell ref="B24:E24"/>
    <mergeCell ref="B25:E25"/>
    <mergeCell ref="B26:E26"/>
    <mergeCell ref="B27:E27"/>
    <mergeCell ref="B28:E28"/>
    <mergeCell ref="B29:E29"/>
    <mergeCell ref="A6:K6"/>
    <mergeCell ref="A20:A21"/>
    <mergeCell ref="F20:F21"/>
    <mergeCell ref="B22:E22"/>
    <mergeCell ref="A1:K5"/>
    <mergeCell ref="B30:E30"/>
    <mergeCell ref="B31:E31"/>
    <mergeCell ref="B20:E21"/>
    <mergeCell ref="G20:H21"/>
    <mergeCell ref="I20:J20"/>
    <mergeCell ref="G22:H22"/>
    <mergeCell ref="G23:H23"/>
    <mergeCell ref="B23:E23"/>
  </mergeCells>
  <phoneticPr fontId="20" type="noConversion"/>
  <pageMargins left="0.511811023622047" right="0.118110236220472" top="0.35433070866141703" bottom="0.15748031496063" header="0.31496062992126" footer="0.31496062992126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</vt:lpstr>
      <vt:lpstr>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 Sirimanuwat</dc:creator>
  <cp:lastModifiedBy>Yada Sirimanuwat</cp:lastModifiedBy>
  <cp:lastPrinted>2026-08-19T06:54:32Z</cp:lastPrinted>
  <dcterms:created xsi:type="dcterms:W3CDTF">2025-02-26T01:47:25Z</dcterms:created>
  <dcterms:modified xsi:type="dcterms:W3CDTF">2026-08-19T07:26:40Z</dcterms:modified>
</cp:coreProperties>
</file>