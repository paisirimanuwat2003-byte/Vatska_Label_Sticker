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vatska\software\examples\TAAT\"/>
    </mc:Choice>
  </mc:AlternateContent>
  <xr:revisionPtr revIDLastSave="0" documentId="13_ncr:1_{6B46D464-DBF4-401F-B0AD-D9D540CC8AC4}" xr6:coauthVersionLast="47" xr6:coauthVersionMax="47" xr10:uidLastSave="{00000000-0000-0000-0000-000000000000}"/>
  <bookViews>
    <workbookView xWindow="-28920" yWindow="-120" windowWidth="29040" windowHeight="15720" xr2:uid="{874D8AF1-DF56-4DEE-86B1-A5E2F5D42D71}"/>
  </bookViews>
  <sheets>
    <sheet name="A1" sheetId="1" r:id="rId1"/>
    <sheet name="A2" sheetId="2" r:id="rId2"/>
  </sheets>
  <definedNames>
    <definedName name="E_3603">'A1'!$L$28:$L$38</definedName>
    <definedName name="LMT_55">'A1'!$K$28:$K$38</definedName>
    <definedName name="Pharmed">'A1'!$J$28:$J$34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C31" i="1" l="1"/>
  <c r="F14" i="2"/>
  <c r="H13" i="2"/>
  <c r="G13" i="2"/>
  <c r="H12" i="2"/>
  <c r="G12" i="2"/>
  <c r="H11" i="2"/>
  <c r="G11" i="2"/>
  <c r="J9" i="2"/>
  <c r="J8" i="2"/>
  <c r="J7" i="2"/>
  <c r="C7" i="2"/>
  <c r="F39" i="1"/>
  <c r="F38" i="1"/>
  <c r="F34" i="1"/>
  <c r="F33" i="1"/>
  <c r="F32" i="1"/>
  <c r="C34" i="1"/>
  <c r="C33" i="1"/>
  <c r="C32" i="1"/>
  <c r="G25" i="1"/>
  <c r="D34" i="1" s="1"/>
  <c r="G24" i="1"/>
  <c r="D33" i="1" s="1"/>
  <c r="G23" i="1"/>
  <c r="D32" i="1" s="1"/>
  <c r="H20" i="1"/>
  <c r="H21" i="1"/>
  <c r="H19" i="1"/>
  <c r="G20" i="1"/>
  <c r="G21" i="1"/>
  <c r="G19" i="1"/>
  <c r="E20" i="1"/>
  <c r="E21" i="1"/>
  <c r="E19" i="1"/>
  <c r="E31" i="1"/>
</calcChain>
</file>

<file path=xl/sharedStrings.xml><?xml version="1.0" encoding="utf-8"?>
<sst xmlns="http://schemas.openxmlformats.org/spreadsheetml/2006/main" count="224" uniqueCount="136">
  <si>
    <r>
      <t>บริษัท แวตสก้า จำกัด/ Vatska Company Limited</t>
    </r>
    <r>
      <rPr>
        <sz val="16"/>
        <color theme="1"/>
        <rFont val="Angsana New"/>
        <family val="1"/>
      </rPr>
      <t xml:space="preserve">
53/2 ต. อ้อมเกร็ด อ. ปากเกร็ด จ. นนทบุรี 11120/ 53/2 T. Om-Kred A. Pakkred Nonthaburi 11120 Thailand
โทร. +662 9244161 อีเมล: sales@vatska.com/ Tel: +662 9244161 E-mail: sales@vatska.com </t>
    </r>
  </si>
  <si>
    <t>วันที่</t>
  </si>
  <si>
    <t>แผนก</t>
  </si>
  <si>
    <t>ผลิต (Production)</t>
  </si>
  <si>
    <t>ลูกค้า</t>
  </si>
  <si>
    <t>ลำดับ</t>
  </si>
  <si>
    <t>รายละเอียด</t>
  </si>
  <si>
    <t>จำนวนสายยางที่เบิกเป็นมิลลิเมตร</t>
  </si>
  <si>
    <t>สายยาง</t>
  </si>
  <si>
    <t>แท่นพลาสติคเพื่อใช้ตัดสายยาง</t>
  </si>
  <si>
    <t>สติกเกอร์</t>
  </si>
  <si>
    <t>ไม้บรรทัดเหล็ก</t>
  </si>
  <si>
    <t xml:space="preserve"> </t>
  </si>
  <si>
    <t>วัสดุที่เบิกใช้ในการผลิต</t>
  </si>
  <si>
    <t>แผ่นอลูมิเนียมเพื่อยึดสายยาง</t>
  </si>
  <si>
    <t xml:space="preserve">ถุงพลาสติค </t>
  </si>
  <si>
    <t>ขวดกาว / ถ้วยสแตนเลสใส่กาว</t>
  </si>
  <si>
    <t>คีมหนีบสแตนเลสปากแหลม/ปากแบน</t>
  </si>
  <si>
    <t>สี/รุ่น</t>
  </si>
  <si>
    <t>ระยะ A</t>
  </si>
  <si>
    <t>ระยะ B</t>
  </si>
  <si>
    <t>ระยะ C</t>
  </si>
  <si>
    <t>มิลลิเมตร</t>
  </si>
  <si>
    <t>ระยะความยาวสายยางโดยรวม</t>
  </si>
  <si>
    <t>ระยะห่างระหว่างคอลล่าร์</t>
  </si>
  <si>
    <t>AYFEC869</t>
  </si>
  <si>
    <t>AYGEC869</t>
  </si>
  <si>
    <t>AYHEC871</t>
  </si>
  <si>
    <t xml:space="preserve">AYIEC871 </t>
  </si>
  <si>
    <t>AYNEC872</t>
  </si>
  <si>
    <t>part number ของคอลล่าร์</t>
  </si>
  <si>
    <t>ใบงาน TAAT</t>
  </si>
  <si>
    <t>จำนวนคอลล่าร์ต่อเส้น</t>
  </si>
  <si>
    <t xml:space="preserve">สีของคอลล่าร์ </t>
  </si>
  <si>
    <t>ผู้เบิกวัตถุดิบ</t>
  </si>
  <si>
    <t>ผู้อนุมัติ</t>
  </si>
  <si>
    <t>ใบตรวจสอบคุณภาพผลิตภัณฑ์และหีบห่อ TAAT</t>
  </si>
  <si>
    <t>เลขที่เอกสาร</t>
  </si>
  <si>
    <t>หัวข้อที่ใช้ในการตรวจสอบ</t>
  </si>
  <si>
    <t>ปริมาณกาวล้นสายยาง</t>
  </si>
  <si>
    <t xml:space="preserve">คอลล่าร์ติดเอียง </t>
  </si>
  <si>
    <t>คอลล่าร์ติดไม่แน่น</t>
  </si>
  <si>
    <t>สติกเกอร์ลงวันที่ผลิตตรงตามใบงาน</t>
  </si>
  <si>
    <t xml:space="preserve">สติกเกอร์ลง รหัสสินค้าถูกต้อง </t>
  </si>
  <si>
    <t>จำนวนสายยางถูกต้องตามใบสั่งงาน</t>
  </si>
  <si>
    <t>จำนวนสายยาง/หีบห่อที่ผลิต</t>
  </si>
  <si>
    <t>จำนวนสายยาง/หีบห่อที่ตรวจสอบ</t>
  </si>
  <si>
    <t>QC PASSED</t>
  </si>
  <si>
    <t>QC REJECTED</t>
  </si>
  <si>
    <t>ระยะห่างระหว่างคอลล่าร์กับปลายสายยาง</t>
  </si>
  <si>
    <t>รหัสสินค้า</t>
  </si>
  <si>
    <t xml:space="preserve">จำนวน </t>
  </si>
  <si>
    <t>หน่วย</t>
  </si>
  <si>
    <t>จำนวนที่ผ่าน/ไม่ผ่านการตรวจสอบ</t>
  </si>
  <si>
    <t>จำนวนที่ผลิต</t>
  </si>
  <si>
    <t>A1</t>
  </si>
  <si>
    <t>กล่อง</t>
  </si>
  <si>
    <t>ชิ้น</t>
  </si>
  <si>
    <t>ตัวคอลล่าร์ติดสายยางตัวที่ 1</t>
  </si>
  <si>
    <t>ตัวคอลล่าร์ติดสายยางตัวที่ 2</t>
  </si>
  <si>
    <t>ตัวคอลล่าร์ติดสายยางตัวที่ 3</t>
  </si>
  <si>
    <t>ตัวคอลล่าร์ติดสายยางตัวที่ 4</t>
  </si>
  <si>
    <t>Saint Gobain TAAT</t>
  </si>
  <si>
    <t>TAAT</t>
  </si>
  <si>
    <t>TAAT TUBE</t>
  </si>
  <si>
    <t>TAAT TUBE P/N</t>
  </si>
  <si>
    <t>ID (mm)</t>
  </si>
  <si>
    <t>OD (mm)</t>
  </si>
  <si>
    <t>Length (mm)</t>
  </si>
  <si>
    <t>1st
Collar
P/N</t>
  </si>
  <si>
    <t>1st
Collar
Color</t>
  </si>
  <si>
    <t>Picture</t>
  </si>
  <si>
    <t>2nd
Collar
P/N</t>
  </si>
  <si>
    <t>2nd
Collar
Color</t>
  </si>
  <si>
    <t>070534-11-ND</t>
  </si>
  <si>
    <t>070534-12-ND</t>
  </si>
  <si>
    <t xml:space="preserve">AYGEC869 </t>
  </si>
  <si>
    <t>070534-13-ND</t>
  </si>
  <si>
    <t>070534-14-ND</t>
  </si>
  <si>
    <t>AYLEC870</t>
  </si>
  <si>
    <t>070534-18-ND</t>
  </si>
  <si>
    <t xml:space="preserve">AYHEC871 </t>
  </si>
  <si>
    <t>070534-19-ND</t>
  </si>
  <si>
    <t>AYIEC871</t>
  </si>
  <si>
    <t>070534-20-ND</t>
  </si>
  <si>
    <t>070534-21-ND</t>
  </si>
  <si>
    <t>Collar 1</t>
  </si>
  <si>
    <t>Collar 2</t>
  </si>
  <si>
    <t>Collar 3</t>
  </si>
  <si>
    <t>ดำ</t>
  </si>
  <si>
    <t>เขียว</t>
  </si>
  <si>
    <t>แดง</t>
  </si>
  <si>
    <t>เทา</t>
  </si>
  <si>
    <t>ฟ้า</t>
  </si>
  <si>
    <t>ม่วง</t>
  </si>
  <si>
    <t>SG PO</t>
  </si>
  <si>
    <t>PART NO</t>
  </si>
  <si>
    <t>Description</t>
  </si>
  <si>
    <t>part number ของสายยาง</t>
  </si>
  <si>
    <t>Lot no.</t>
  </si>
  <si>
    <t>จำนวนที่บรรจุ</t>
  </si>
  <si>
    <t>SAINT-GOBAIN TAAT</t>
  </si>
  <si>
    <t>Lot no</t>
  </si>
  <si>
    <r>
      <rPr>
        <b/>
        <sz val="18"/>
        <color theme="1"/>
        <rFont val="Angsana New"/>
        <family val="1"/>
      </rPr>
      <t>บริษัท แวตสก้า จำกัด/ Vatska Company Limited</t>
    </r>
    <r>
      <rPr>
        <sz val="16"/>
        <color theme="1"/>
        <rFont val="Angsana New"/>
        <family val="1"/>
      </rPr>
      <t xml:space="preserve">
53/2 ต. อ้อมเกร็ด อ. ปากเกร็ด จ. นนทบุรี 11120/ 53/2 T. Om-Kred A. Pakkred Nonthaburi 11120 Thailand
โทร. +662 9244161 อีเมล: sales@vatska.com/ Tel: +662 9244161 E-mail: sales@vatska.com </t>
    </r>
  </si>
  <si>
    <t>Pharmed</t>
  </si>
  <si>
    <t>LMT-55</t>
  </si>
  <si>
    <t>E-3603</t>
  </si>
  <si>
    <t>AY242605</t>
  </si>
  <si>
    <t>AY242606</t>
  </si>
  <si>
    <t>AY242607</t>
  </si>
  <si>
    <t>AY242602</t>
  </si>
  <si>
    <t>AY242603</t>
  </si>
  <si>
    <t>ALH00001</t>
  </si>
  <si>
    <t>ALH00002</t>
  </si>
  <si>
    <t>ALH00003</t>
  </si>
  <si>
    <t>ALH00004</t>
  </si>
  <si>
    <t>ALH00005</t>
  </si>
  <si>
    <t>ALH00006</t>
  </si>
  <si>
    <t>ALH00007</t>
  </si>
  <si>
    <t>ALH00008</t>
  </si>
  <si>
    <t>ALH02002</t>
  </si>
  <si>
    <t>ALH02004</t>
  </si>
  <si>
    <t>ALH4006</t>
  </si>
  <si>
    <t>ACF00001</t>
  </si>
  <si>
    <t>ACF00002</t>
  </si>
  <si>
    <t>ACF02002</t>
  </si>
  <si>
    <t>ACF00003</t>
  </si>
  <si>
    <t>ACF00004</t>
  </si>
  <si>
    <t>ACF02004</t>
  </si>
  <si>
    <t>ACF00005</t>
  </si>
  <si>
    <t>ACF00006</t>
  </si>
  <si>
    <t>ACF00007</t>
  </si>
  <si>
    <t>ACF04006</t>
  </si>
  <si>
    <t>ACF02007</t>
  </si>
  <si>
    <t>What if " LMT55, Pharmed or E3603" then show dropdown list" worksheet A2, column D,E,F -line 38-48</t>
  </si>
  <si>
    <t>A053404-EP-CP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</si>
</sst>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_-;\-* #,##0.00_-;_-* &quot;-&quot;??_-;_-@_-"/>
  </numFmts>
  <fonts count="25">
    <font>
      <sz val="11"/>
      <color theme="1"/>
      <name val="Calibri"/>
      <family val="2"/>
      <charset val="222"/>
      <scheme val="minor"/>
    </font>
    <font>
      <sz val="11"/>
      <color theme="1"/>
      <name val="Calibri"/>
      <family val="2"/>
      <charset val="222"/>
      <scheme val="minor"/>
    </font>
    <font>
      <sz val="9"/>
      <color theme="1"/>
      <name val="Arial"/>
      <family val="2"/>
    </font>
    <font>
      <b/>
      <sz val="16"/>
      <color theme="1"/>
      <name val="Angsana New"/>
      <family val="1"/>
    </font>
    <font>
      <sz val="16"/>
      <color theme="1"/>
      <name val="Angsana New"/>
      <family val="1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26"/>
      <color theme="1"/>
      <name val="Arial"/>
      <family val="2"/>
    </font>
    <font>
      <sz val="14"/>
      <color theme="1"/>
      <name val="Arial"/>
      <family val="2"/>
    </font>
    <font>
      <sz val="14"/>
      <name val="Arial"/>
      <family val="2"/>
    </font>
    <font>
      <sz val="16"/>
      <color theme="1"/>
      <name val="Arial"/>
      <family val="2"/>
    </font>
    <font>
      <b/>
      <sz val="16"/>
      <color theme="1"/>
      <name val="Arial"/>
      <family val="2"/>
    </font>
    <font>
      <sz val="16"/>
      <name val="Arial"/>
      <family val="2"/>
    </font>
    <font>
      <u/>
      <sz val="16"/>
      <color theme="1"/>
      <name val="Arial"/>
      <family val="2"/>
    </font>
    <font>
      <sz val="18"/>
      <color theme="1"/>
      <name val="Arial"/>
      <family val="2"/>
    </font>
    <font>
      <sz val="18"/>
      <name val="Arial"/>
      <family val="2"/>
    </font>
    <font>
      <b/>
      <sz val="20"/>
      <color theme="1"/>
      <name val="Arial"/>
      <family val="2"/>
    </font>
    <font>
      <sz val="12"/>
      <color theme="1"/>
      <name val="Arial"/>
      <family val="2"/>
    </font>
    <font>
      <sz val="12"/>
      <color rgb="FF000000"/>
      <name val="Arial"/>
      <family val="2"/>
    </font>
    <font>
      <b/>
      <sz val="24"/>
      <color theme="1"/>
      <name val="Arial"/>
      <family val="2"/>
    </font>
    <font>
      <sz val="8"/>
      <name val="Calibri"/>
      <family val="2"/>
      <charset val="222"/>
      <scheme val="minor"/>
    </font>
    <font>
      <b/>
      <sz val="11"/>
      <color theme="1"/>
      <name val="Arial"/>
      <family val="2"/>
    </font>
    <font>
      <sz val="11"/>
      <color rgb="FF000000"/>
      <name val="Arial"/>
      <family val="2"/>
    </font>
    <font>
      <sz val="12"/>
      <name val="Arial"/>
      <family val="2"/>
    </font>
    <font>
      <b/>
      <sz val="18"/>
      <color theme="1"/>
      <name val="Angsana New"/>
      <family val="1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141">
    <xf numFmtId="0" fontId="0" fillId="0" borderId="0" xfId="0"/>
    <xf numFmtId="0" fontId="2" fillId="0" borderId="0" xfId="0" applyFont="1" applyAlignment="1">
      <alignment horizontal="center"/>
    </xf>
    <xf numFmtId="0" fontId="2" fillId="0" borderId="0" xfId="0" applyFont="1"/>
    <xf numFmtId="0" fontId="5" fillId="0" borderId="0" xfId="0" applyFont="1" applyAlignment="1">
      <alignment horizontal="center"/>
    </xf>
    <xf numFmtId="0" fontId="5" fillId="0" borderId="0" xfId="0" applyFont="1"/>
    <xf numFmtId="0" fontId="8" fillId="0" borderId="0" xfId="0" applyFont="1" applyAlignment="1">
      <alignment horizontal="center"/>
    </xf>
    <xf numFmtId="0" fontId="8" fillId="0" borderId="0" xfId="0" applyFont="1"/>
    <xf numFmtId="0" fontId="9" fillId="2" borderId="3" xfId="0" applyFont="1" applyFill="1" applyBorder="1" applyAlignment="1">
      <alignment horizontal="center" vertical="top"/>
    </xf>
    <xf numFmtId="0" fontId="9" fillId="2" borderId="2" xfId="0" applyFont="1" applyFill="1" applyBorder="1" applyAlignment="1">
      <alignment horizontal="center"/>
    </xf>
    <xf numFmtId="0" fontId="9" fillId="2" borderId="2" xfId="0" applyFont="1" applyFill="1" applyBorder="1" applyAlignment="1">
      <alignment horizontal="center" vertical="center"/>
    </xf>
    <xf numFmtId="0" fontId="10" fillId="0" borderId="0" xfId="0" applyFont="1" applyAlignment="1">
      <alignment horizontal="center"/>
    </xf>
    <xf numFmtId="0" fontId="10" fillId="0" borderId="0" xfId="0" applyFont="1"/>
    <xf numFmtId="0" fontId="10" fillId="0" borderId="1" xfId="0" applyFont="1" applyBorder="1" applyAlignment="1">
      <alignment horizontal="center"/>
    </xf>
    <xf numFmtId="0" fontId="11" fillId="0" borderId="0" xfId="0" applyFont="1" applyAlignment="1">
      <alignment horizontal="left"/>
    </xf>
    <xf numFmtId="0" fontId="12" fillId="2" borderId="2" xfId="0" applyFont="1" applyFill="1" applyBorder="1" applyAlignment="1">
      <alignment vertical="center"/>
    </xf>
    <xf numFmtId="0" fontId="12" fillId="2" borderId="2" xfId="0" applyFont="1" applyFill="1" applyBorder="1" applyAlignment="1">
      <alignment horizontal="center"/>
    </xf>
    <xf numFmtId="164" fontId="12" fillId="2" borderId="2" xfId="1" applyFont="1" applyFill="1" applyBorder="1" applyAlignment="1">
      <alignment horizontal="right"/>
    </xf>
    <xf numFmtId="0" fontId="12" fillId="2" borderId="0" xfId="0" applyFont="1" applyFill="1"/>
    <xf numFmtId="0" fontId="12" fillId="2" borderId="2" xfId="0" applyFont="1" applyFill="1" applyBorder="1"/>
    <xf numFmtId="0" fontId="12" fillId="2" borderId="8" xfId="0" applyFont="1" applyFill="1" applyBorder="1" applyAlignment="1">
      <alignment vertical="center"/>
    </xf>
    <xf numFmtId="0" fontId="12" fillId="2" borderId="2" xfId="0" applyFont="1" applyFill="1" applyBorder="1" applyAlignment="1">
      <alignment horizontal="center" vertical="center"/>
    </xf>
    <xf numFmtId="0" fontId="12" fillId="2" borderId="8" xfId="0" applyFont="1" applyFill="1" applyBorder="1" applyAlignment="1">
      <alignment horizontal="left" vertical="center"/>
    </xf>
    <xf numFmtId="0" fontId="12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vertical="center"/>
    </xf>
    <xf numFmtId="0" fontId="12" fillId="2" borderId="0" xfId="0" applyFont="1" applyFill="1" applyAlignment="1">
      <alignment horizontal="center"/>
    </xf>
    <xf numFmtId="0" fontId="10" fillId="0" borderId="0" xfId="0" applyFont="1" applyAlignment="1">
      <alignment vertical="center"/>
    </xf>
    <xf numFmtId="0" fontId="14" fillId="0" borderId="0" xfId="0" applyFont="1" applyAlignment="1">
      <alignment horizontal="center"/>
    </xf>
    <xf numFmtId="0" fontId="14" fillId="0" borderId="1" xfId="0" applyFont="1" applyBorder="1"/>
    <xf numFmtId="0" fontId="14" fillId="0" borderId="0" xfId="0" applyFont="1"/>
    <xf numFmtId="9" fontId="8" fillId="0" borderId="0" xfId="0" applyNumberFormat="1" applyFont="1"/>
    <xf numFmtId="0" fontId="15" fillId="2" borderId="3" xfId="0" applyFont="1" applyFill="1" applyBorder="1" applyAlignment="1">
      <alignment horizontal="center" vertical="top"/>
    </xf>
    <xf numFmtId="0" fontId="15" fillId="2" borderId="2" xfId="0" applyFont="1" applyFill="1" applyBorder="1" applyAlignment="1">
      <alignment vertical="center"/>
    </xf>
    <xf numFmtId="0" fontId="15" fillId="2" borderId="2" xfId="0" applyFont="1" applyFill="1" applyBorder="1" applyAlignment="1">
      <alignment horizontal="center"/>
    </xf>
    <xf numFmtId="164" fontId="15" fillId="2" borderId="2" xfId="0" applyNumberFormat="1" applyFont="1" applyFill="1" applyBorder="1"/>
    <xf numFmtId="0" fontId="15" fillId="2" borderId="0" xfId="0" applyFont="1" applyFill="1"/>
    <xf numFmtId="0" fontId="15" fillId="2" borderId="2" xfId="0" applyFont="1" applyFill="1" applyBorder="1"/>
    <xf numFmtId="0" fontId="15" fillId="2" borderId="8" xfId="0" applyFont="1" applyFill="1" applyBorder="1" applyAlignment="1">
      <alignment vertical="center"/>
    </xf>
    <xf numFmtId="0" fontId="15" fillId="2" borderId="2" xfId="0" applyFont="1" applyFill="1" applyBorder="1" applyAlignment="1">
      <alignment horizontal="center" vertical="center"/>
    </xf>
    <xf numFmtId="0" fontId="15" fillId="2" borderId="0" xfId="0" applyFont="1" applyFill="1" applyAlignment="1">
      <alignment horizontal="center" vertical="center"/>
    </xf>
    <xf numFmtId="0" fontId="15" fillId="2" borderId="0" xfId="0" applyFont="1" applyFill="1" applyAlignment="1">
      <alignment vertical="center"/>
    </xf>
    <xf numFmtId="0" fontId="15" fillId="2" borderId="0" xfId="0" applyFont="1" applyFill="1" applyAlignment="1">
      <alignment horizontal="center"/>
    </xf>
    <xf numFmtId="0" fontId="14" fillId="0" borderId="0" xfId="0" applyFont="1" applyAlignment="1">
      <alignment vertical="center"/>
    </xf>
    <xf numFmtId="0" fontId="16" fillId="0" borderId="0" xfId="0" applyFont="1" applyAlignment="1">
      <alignment horizontal="left"/>
    </xf>
    <xf numFmtId="0" fontId="6" fillId="0" borderId="3" xfId="0" applyFont="1" applyBorder="1" applyAlignment="1">
      <alignment horizontal="center" vertical="center" wrapText="1"/>
    </xf>
    <xf numFmtId="0" fontId="10" fillId="0" borderId="0" xfId="0" applyFont="1" applyAlignment="1">
      <alignment horizontal="left"/>
    </xf>
    <xf numFmtId="0" fontId="17" fillId="0" borderId="0" xfId="0" applyFont="1" applyAlignment="1">
      <alignment horizontal="center"/>
    </xf>
    <xf numFmtId="0" fontId="17" fillId="0" borderId="0" xfId="0" applyFont="1"/>
    <xf numFmtId="0" fontId="17" fillId="0" borderId="0" xfId="0" applyFont="1" applyAlignment="1">
      <alignment horizontal="center" vertical="center"/>
    </xf>
    <xf numFmtId="0" fontId="8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top" wrapText="1"/>
    </xf>
    <xf numFmtId="0" fontId="7" fillId="0" borderId="0" xfId="0" applyFont="1" applyAlignment="1">
      <alignment horizontal="left"/>
    </xf>
    <xf numFmtId="0" fontId="14" fillId="0" borderId="0" xfId="0" applyFont="1" applyAlignment="1">
      <alignment horizontal="left"/>
    </xf>
    <xf numFmtId="2" fontId="8" fillId="0" borderId="0" xfId="0" applyNumberFormat="1" applyFont="1" applyAlignment="1">
      <alignment horizontal="left"/>
    </xf>
    <xf numFmtId="0" fontId="17" fillId="0" borderId="0" xfId="0" applyFont="1" applyAlignment="1">
      <alignment horizontal="left"/>
    </xf>
    <xf numFmtId="0" fontId="12" fillId="2" borderId="0" xfId="0" applyFont="1" applyFill="1" applyAlignment="1">
      <alignment horizontal="left"/>
    </xf>
    <xf numFmtId="0" fontId="13" fillId="0" borderId="0" xfId="0" applyFont="1" applyAlignment="1">
      <alignment horizontal="left"/>
    </xf>
    <xf numFmtId="0" fontId="19" fillId="0" borderId="0" xfId="0" applyFont="1" applyAlignment="1">
      <alignment horizontal="left" vertical="top" wrapText="1"/>
    </xf>
    <xf numFmtId="164" fontId="12" fillId="2" borderId="2" xfId="0" applyNumberFormat="1" applyFont="1" applyFill="1" applyBorder="1" applyAlignment="1">
      <alignment horizontal="center"/>
    </xf>
    <xf numFmtId="0" fontId="13" fillId="0" borderId="1" xfId="0" applyFont="1" applyBorder="1" applyAlignment="1">
      <alignment horizontal="center"/>
    </xf>
    <xf numFmtId="2" fontId="8" fillId="0" borderId="0" xfId="0" applyNumberFormat="1" applyFont="1" applyAlignment="1">
      <alignment horizontal="right"/>
    </xf>
    <xf numFmtId="164" fontId="12" fillId="2" borderId="2" xfId="1" applyFont="1" applyFill="1" applyBorder="1" applyAlignment="1">
      <alignment horizontal="center"/>
    </xf>
    <xf numFmtId="0" fontId="10" fillId="0" borderId="2" xfId="0" applyFont="1" applyBorder="1" applyAlignment="1">
      <alignment horizontal="center" vertical="center" wrapText="1"/>
    </xf>
    <xf numFmtId="0" fontId="7" fillId="0" borderId="0" xfId="0" applyFont="1" applyAlignment="1">
      <alignment horizontal="center"/>
    </xf>
    <xf numFmtId="0" fontId="10" fillId="0" borderId="0" xfId="0" applyFont="1" applyAlignment="1">
      <alignment horizontal="right"/>
    </xf>
    <xf numFmtId="0" fontId="10" fillId="0" borderId="0" xfId="0" applyFont="1" applyAlignment="1">
      <alignment horizontal="left" wrapText="1" indent="1"/>
    </xf>
    <xf numFmtId="0" fontId="10" fillId="3" borderId="1" xfId="0" applyFont="1" applyFill="1" applyBorder="1" applyAlignment="1">
      <alignment horizontal="left"/>
    </xf>
    <xf numFmtId="0" fontId="10" fillId="0" borderId="1" xfId="0" applyFont="1" applyBorder="1" applyAlignment="1">
      <alignment horizontal="right"/>
    </xf>
    <xf numFmtId="0" fontId="10" fillId="3" borderId="0" xfId="0" applyFont="1" applyFill="1" applyAlignment="1">
      <alignment horizontal="center"/>
    </xf>
    <xf numFmtId="0" fontId="10" fillId="3" borderId="0" xfId="0" applyFont="1" applyFill="1"/>
    <xf numFmtId="0" fontId="8" fillId="0" borderId="1" xfId="0" applyFont="1" applyBorder="1"/>
    <xf numFmtId="0" fontId="8" fillId="0" borderId="12" xfId="0" applyFont="1" applyBorder="1"/>
    <xf numFmtId="0" fontId="21" fillId="4" borderId="2" xfId="0" applyFont="1" applyFill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/>
    </xf>
    <xf numFmtId="0" fontId="22" fillId="0" borderId="2" xfId="0" applyFont="1" applyBorder="1" applyAlignment="1">
      <alignment horizontal="center" vertical="center" wrapText="1"/>
    </xf>
    <xf numFmtId="0" fontId="17" fillId="0" borderId="0" xfId="0" applyFont="1" applyAlignment="1">
      <alignment horizontal="right"/>
    </xf>
    <xf numFmtId="0" fontId="9" fillId="2" borderId="2" xfId="0" applyFont="1" applyFill="1" applyBorder="1"/>
    <xf numFmtId="0" fontId="23" fillId="2" borderId="2" xfId="0" applyFont="1" applyFill="1" applyBorder="1" applyAlignment="1">
      <alignment horizontal="center"/>
    </xf>
    <xf numFmtId="0" fontId="17" fillId="0" borderId="2" xfId="0" applyFont="1" applyBorder="1" applyAlignment="1">
      <alignment horizontal="right" vertical="center"/>
    </xf>
    <xf numFmtId="0" fontId="18" fillId="0" borderId="2" xfId="0" applyFont="1" applyBorder="1" applyAlignment="1">
      <alignment horizontal="right" vertical="center" wrapText="1"/>
    </xf>
    <xf numFmtId="0" fontId="23" fillId="2" borderId="2" xfId="0" applyFont="1" applyFill="1" applyBorder="1" applyAlignment="1">
      <alignment horizontal="right"/>
    </xf>
    <xf numFmtId="0" fontId="17" fillId="0" borderId="2" xfId="0" applyFont="1" applyBorder="1" applyAlignment="1">
      <alignment horizontal="center"/>
    </xf>
    <xf numFmtId="0" fontId="17" fillId="3" borderId="0" xfId="0" applyFont="1" applyFill="1" applyAlignment="1">
      <alignment horizontal="center"/>
    </xf>
    <xf numFmtId="0" fontId="14" fillId="2" borderId="0" xfId="0" applyFont="1" applyFill="1" applyAlignment="1">
      <alignment horizontal="left"/>
    </xf>
    <xf numFmtId="0" fontId="10" fillId="3" borderId="0" xfId="0" applyFont="1" applyFill="1" applyAlignment="1">
      <alignment horizontal="left"/>
    </xf>
    <xf numFmtId="0" fontId="10" fillId="2" borderId="0" xfId="0" applyFont="1" applyFill="1"/>
    <xf numFmtId="0" fontId="14" fillId="0" borderId="0" xfId="0" applyFont="1" applyAlignment="1">
      <alignment horizontal="right"/>
    </xf>
    <xf numFmtId="0" fontId="2" fillId="0" borderId="0" xfId="0" applyFont="1" applyAlignment="1">
      <alignment horizontal="right"/>
    </xf>
    <xf numFmtId="0" fontId="14" fillId="0" borderId="1" xfId="0" applyFont="1" applyBorder="1" applyAlignment="1">
      <alignment horizontal="right"/>
    </xf>
    <xf numFmtId="0" fontId="10" fillId="2" borderId="0" xfId="0" applyFont="1" applyFill="1" applyAlignment="1">
      <alignment horizontal="right"/>
    </xf>
    <xf numFmtId="0" fontId="8" fillId="0" borderId="0" xfId="0" applyFont="1" applyAlignment="1">
      <alignment horizontal="right"/>
    </xf>
    <xf numFmtId="0" fontId="6" fillId="0" borderId="3" xfId="0" applyFont="1" applyBorder="1" applyAlignment="1">
      <alignment horizontal="right" vertical="center" wrapText="1"/>
    </xf>
    <xf numFmtId="164" fontId="15" fillId="2" borderId="2" xfId="0" applyNumberFormat="1" applyFont="1" applyFill="1" applyBorder="1" applyAlignment="1">
      <alignment horizontal="right"/>
    </xf>
    <xf numFmtId="0" fontId="15" fillId="2" borderId="2" xfId="0" applyFont="1" applyFill="1" applyBorder="1" applyAlignment="1">
      <alignment horizontal="right"/>
    </xf>
    <xf numFmtId="0" fontId="15" fillId="2" borderId="0" xfId="0" applyFont="1" applyFill="1" applyAlignment="1">
      <alignment horizontal="right"/>
    </xf>
    <xf numFmtId="0" fontId="21" fillId="4" borderId="2" xfId="0" applyFont="1" applyFill="1" applyBorder="1" applyAlignment="1">
      <alignment horizontal="right" vertical="center" wrapText="1"/>
    </xf>
    <xf numFmtId="0" fontId="5" fillId="0" borderId="2" xfId="0" applyFont="1" applyBorder="1" applyAlignment="1">
      <alignment horizontal="right" vertical="center"/>
    </xf>
    <xf numFmtId="0" fontId="5" fillId="0" borderId="0" xfId="0" applyFont="1" applyAlignment="1">
      <alignment horizontal="right"/>
    </xf>
    <xf numFmtId="2" fontId="14" fillId="0" borderId="0" xfId="0" applyNumberFormat="1" applyFont="1"/>
    <xf numFmtId="2" fontId="14" fillId="0" borderId="0" xfId="0" applyNumberFormat="1" applyFont="1" applyAlignment="1">
      <alignment horizontal="center"/>
    </xf>
    <xf numFmtId="0" fontId="8" fillId="3" borderId="0" xfId="0" applyFont="1" applyFill="1" applyAlignment="1">
      <alignment horizontal="center"/>
    </xf>
    <xf numFmtId="0" fontId="14" fillId="0" borderId="0" xfId="0" applyFont="1" applyBorder="1"/>
    <xf numFmtId="0" fontId="14" fillId="0" borderId="0" xfId="0" applyFont="1" applyAlignment="1"/>
    <xf numFmtId="0" fontId="6" fillId="0" borderId="2" xfId="0" applyFont="1" applyBorder="1" applyAlignment="1">
      <alignment horizontal="center" vertical="center"/>
    </xf>
    <xf numFmtId="0" fontId="6" fillId="0" borderId="0" xfId="0" applyFont="1" applyAlignment="1">
      <alignment horizontal="center"/>
    </xf>
    <xf numFmtId="0" fontId="6" fillId="0" borderId="2" xfId="0" applyFont="1" applyBorder="1" applyAlignment="1">
      <alignment horizontal="center"/>
    </xf>
    <xf numFmtId="0" fontId="17" fillId="0" borderId="0" xfId="0" applyFont="1" applyAlignment="1">
      <alignment horizontal="left" vertical="center"/>
    </xf>
    <xf numFmtId="14" fontId="10" fillId="3" borderId="0" xfId="0" applyNumberFormat="1" applyFont="1" applyFill="1"/>
    <xf numFmtId="0" fontId="10" fillId="0" borderId="2" xfId="0" applyFont="1" applyBorder="1" applyAlignment="1">
      <alignment horizontal="center" vertical="center" wrapText="1"/>
    </xf>
    <xf numFmtId="0" fontId="10" fillId="0" borderId="0" xfId="0" applyFont="1" applyAlignment="1">
      <alignment horizontal="right" wrapText="1"/>
    </xf>
    <xf numFmtId="0" fontId="7" fillId="0" borderId="0" xfId="0" applyFont="1" applyAlignment="1">
      <alignment horizontal="center"/>
    </xf>
    <xf numFmtId="0" fontId="3" fillId="0" borderId="0" xfId="0" applyFont="1" applyAlignment="1">
      <alignment horizontal="center" vertical="top" wrapText="1"/>
    </xf>
    <xf numFmtId="0" fontId="10" fillId="0" borderId="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 wrapText="1"/>
    </xf>
    <xf numFmtId="0" fontId="10" fillId="0" borderId="5" xfId="0" applyFont="1" applyBorder="1" applyAlignment="1">
      <alignment horizontal="center" vertical="center" wrapText="1"/>
    </xf>
    <xf numFmtId="0" fontId="10" fillId="0" borderId="4" xfId="0" applyFont="1" applyBorder="1" applyAlignment="1">
      <alignment horizontal="center" vertical="center" wrapText="1"/>
    </xf>
    <xf numFmtId="0" fontId="10" fillId="0" borderId="6" xfId="0" applyFont="1" applyBorder="1" applyAlignment="1">
      <alignment horizontal="center" vertical="center" wrapText="1"/>
    </xf>
    <xf numFmtId="0" fontId="21" fillId="4" borderId="2" xfId="0" applyFont="1" applyFill="1" applyBorder="1" applyAlignment="1">
      <alignment horizontal="center" vertical="center" wrapText="1"/>
    </xf>
    <xf numFmtId="164" fontId="15" fillId="2" borderId="7" xfId="1" applyFont="1" applyFill="1" applyBorder="1" applyAlignment="1">
      <alignment horizontal="center"/>
    </xf>
    <xf numFmtId="164" fontId="15" fillId="2" borderId="8" xfId="1" applyFont="1" applyFill="1" applyBorder="1" applyAlignment="1">
      <alignment horizontal="center"/>
    </xf>
    <xf numFmtId="0" fontId="15" fillId="2" borderId="7" xfId="0" applyFont="1" applyFill="1" applyBorder="1" applyAlignment="1">
      <alignment horizontal="left" vertical="center"/>
    </xf>
    <xf numFmtId="0" fontId="15" fillId="2" borderId="12" xfId="0" applyFont="1" applyFill="1" applyBorder="1" applyAlignment="1">
      <alignment horizontal="left" vertical="center"/>
    </xf>
    <xf numFmtId="0" fontId="15" fillId="2" borderId="8" xfId="0" applyFont="1" applyFill="1" applyBorder="1" applyAlignment="1">
      <alignment horizontal="left" vertical="center"/>
    </xf>
    <xf numFmtId="0" fontId="14" fillId="0" borderId="2" xfId="0" applyFont="1" applyBorder="1" applyAlignment="1">
      <alignment horizontal="center" vertical="center"/>
    </xf>
    <xf numFmtId="0" fontId="15" fillId="2" borderId="7" xfId="0" applyFont="1" applyFill="1" applyBorder="1" applyAlignment="1">
      <alignment horizontal="center" vertical="center"/>
    </xf>
    <xf numFmtId="0" fontId="15" fillId="2" borderId="12" xfId="0" applyFont="1" applyFill="1" applyBorder="1" applyAlignment="1">
      <alignment horizontal="center" vertical="center"/>
    </xf>
    <xf numFmtId="0" fontId="15" fillId="2" borderId="8" xfId="0" applyFont="1" applyFill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4" fillId="0" borderId="9" xfId="0" applyFont="1" applyBorder="1" applyAlignment="1">
      <alignment horizontal="center" vertical="center"/>
    </xf>
    <xf numFmtId="0" fontId="14" fillId="0" borderId="10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4" fillId="0" borderId="11" xfId="0" applyFont="1" applyBorder="1" applyAlignment="1">
      <alignment horizontal="center" vertical="center"/>
    </xf>
    <xf numFmtId="0" fontId="14" fillId="0" borderId="4" xfId="0" applyFont="1" applyBorder="1" applyAlignment="1">
      <alignment horizontal="center" vertical="center" wrapText="1"/>
    </xf>
    <xf numFmtId="0" fontId="14" fillId="0" borderId="10" xfId="0" applyFont="1" applyBorder="1" applyAlignment="1">
      <alignment horizontal="center" vertical="center" wrapText="1"/>
    </xf>
    <xf numFmtId="0" fontId="14" fillId="0" borderId="6" xfId="0" applyFont="1" applyBorder="1" applyAlignment="1">
      <alignment horizontal="center" vertical="center" wrapText="1"/>
    </xf>
    <xf numFmtId="0" fontId="14" fillId="0" borderId="11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8" fillId="0" borderId="10" xfId="0" applyFont="1" applyBorder="1" applyAlignment="1">
      <alignment horizontal="center" vertical="center"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2.png"/><Relationship Id="rId3" Type="http://schemas.openxmlformats.org/officeDocument/2006/relationships/image" Target="../media/image4.png"/><Relationship Id="rId7" Type="http://schemas.openxmlformats.org/officeDocument/2006/relationships/image" Target="../media/image8.png"/><Relationship Id="rId2" Type="http://schemas.openxmlformats.org/officeDocument/2006/relationships/image" Target="../media/image3.png"/><Relationship Id="rId1" Type="http://schemas.openxmlformats.org/officeDocument/2006/relationships/image" Target="../media/image1.jpg"/><Relationship Id="rId6" Type="http://schemas.openxmlformats.org/officeDocument/2006/relationships/image" Target="../media/image7.png"/><Relationship Id="rId5" Type="http://schemas.openxmlformats.org/officeDocument/2006/relationships/image" Target="../media/image6.png"/><Relationship Id="rId4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174625</xdr:colOff>
      <xdr:row>0</xdr:row>
      <xdr:rowOff>31751</xdr:rowOff>
    </xdr:from>
    <xdr:to>
      <xdr:col>0</xdr:col>
      <xdr:colOff>782532</xdr:colOff>
      <xdr:row>2</xdr:row>
      <xdr:rowOff>76200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9AFAFA-CB54-449F-A3CF-24BC0B0ECFCC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4625" y="31751"/>
          <a:ext cx="612775" cy="584199"/>
        </a:xfrm>
        <a:prstGeom prst="rect">
          <a:avLst/>
        </a:prstGeom>
        <a:noFill/>
      </xdr:spPr>
    </xdr:pic>
    <xdr:clientData/>
  </xdr:twoCellAnchor>
  <xdr:twoCellAnchor>
    <xdr:from>
      <xdr:col>7</xdr:col>
      <xdr:colOff>0</xdr:colOff>
      <xdr:row>12</xdr:row>
      <xdr:rowOff>260350</xdr:rowOff>
    </xdr:from>
    <xdr:to>
      <xdr:col>7</xdr:col>
      <xdr:colOff>0</xdr:colOff>
      <xdr:row>13</xdr:row>
      <xdr:rowOff>0</xdr:rowOff>
    </xdr:to>
    <xdr:cxnSp macro="">
      <xdr:nvCxnSpPr>
        <xdr:cNvPr id="14" name="Straight Connector 13">
          <a:extLst>
            <a:ext uri="{FF2B5EF4-FFF2-40B4-BE49-F238E27FC236}">
              <a16:creationId xmlns:a16="http://schemas.microsoft.com/office/drawing/2014/main" id="{50B1D3C2-19AC-4453-956F-3D64541BF892}"/>
            </a:ext>
          </a:extLst>
        </xdr:cNvPr>
        <xdr:cNvCxnSpPr/>
      </xdr:nvCxnSpPr>
      <xdr:spPr>
        <a:xfrm>
          <a:off x="7600950" y="2921000"/>
          <a:ext cx="6350" cy="108585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0</xdr:colOff>
      <xdr:row>1</xdr:row>
      <xdr:rowOff>0</xdr:rowOff>
    </xdr:from>
    <xdr:to>
      <xdr:col>7</xdr:col>
      <xdr:colOff>527050</xdr:colOff>
      <xdr:row>3</xdr:row>
      <xdr:rowOff>0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A55F87A7-2C12-41D2-AFE9-C34CC0A63E80}"/>
            </a:ext>
          </a:extLst>
        </xdr:cNvPr>
        <xdr:cNvSpPr/>
      </xdr:nvSpPr>
      <xdr:spPr>
        <a:xfrm>
          <a:off x="7931150" y="209550"/>
          <a:ext cx="527050" cy="482600"/>
        </a:xfrm>
        <a:prstGeom prst="rect">
          <a:avLst/>
        </a:prstGeom>
        <a:noFill/>
        <a:ln w="6350"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1040693</xdr:colOff>
      <xdr:row>11</xdr:row>
      <xdr:rowOff>238123</xdr:rowOff>
    </xdr:from>
    <xdr:to>
      <xdr:col>3</xdr:col>
      <xdr:colOff>16037</xdr:colOff>
      <xdr:row>13</xdr:row>
      <xdr:rowOff>0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7F64B50A-D6D7-4257-97BE-496046F38572}"/>
            </a:ext>
          </a:extLst>
        </xdr:cNvPr>
        <xdr:cNvSpPr txBox="1"/>
      </xdr:nvSpPr>
      <xdr:spPr>
        <a:xfrm>
          <a:off x="4850693" y="3166179"/>
          <a:ext cx="518747" cy="54680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2800" b="1">
              <a:solidFill>
                <a:srgbClr val="FF0000"/>
              </a:solidFill>
            </a:rPr>
            <a:t> A</a:t>
          </a:r>
        </a:p>
      </xdr:txBody>
    </xdr:sp>
    <xdr:clientData/>
  </xdr:twoCellAnchor>
  <xdr:twoCellAnchor editAs="oneCell">
    <xdr:from>
      <xdr:col>0</xdr:col>
      <xdr:colOff>370417</xdr:colOff>
      <xdr:row>12</xdr:row>
      <xdr:rowOff>110243</xdr:rowOff>
    </xdr:from>
    <xdr:to>
      <xdr:col>7</xdr:col>
      <xdr:colOff>506789</xdr:colOff>
      <xdr:row>17</xdr:row>
      <xdr:rowOff>69191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10C9E15A-DAA6-D140-34BF-A4F2FBEE71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70417" y="3302882"/>
          <a:ext cx="8124884" cy="149543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317500</xdr:colOff>
      <xdr:row>0</xdr:row>
      <xdr:rowOff>90488</xdr:rowOff>
    </xdr:from>
    <xdr:to>
      <xdr:col>1</xdr:col>
      <xdr:colOff>0</xdr:colOff>
      <xdr:row>4</xdr:row>
      <xdr:rowOff>111124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847905B-FA4C-45A4-9235-0399D60E7917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7500" y="90488"/>
          <a:ext cx="749300" cy="806449"/>
        </a:xfrm>
        <a:prstGeom prst="rect">
          <a:avLst/>
        </a:prstGeom>
        <a:noFill/>
      </xdr:spPr>
    </xdr:pic>
    <xdr:clientData/>
  </xdr:twoCellAnchor>
  <xdr:twoCellAnchor>
    <xdr:from>
      <xdr:col>10</xdr:col>
      <xdr:colOff>19050</xdr:colOff>
      <xdr:row>0</xdr:row>
      <xdr:rowOff>0</xdr:rowOff>
    </xdr:from>
    <xdr:to>
      <xdr:col>10</xdr:col>
      <xdr:colOff>546100</xdr:colOff>
      <xdr:row>1</xdr:row>
      <xdr:rowOff>6350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64FBE1AB-5620-4A9D-BF32-3A36826728E9}"/>
            </a:ext>
          </a:extLst>
        </xdr:cNvPr>
        <xdr:cNvSpPr/>
      </xdr:nvSpPr>
      <xdr:spPr>
        <a:xfrm>
          <a:off x="8197850" y="63500"/>
          <a:ext cx="527050" cy="482600"/>
        </a:xfrm>
        <a:prstGeom prst="rect">
          <a:avLst/>
        </a:prstGeom>
        <a:noFill/>
        <a:ln w="6350"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419100</xdr:colOff>
      <xdr:row>9</xdr:row>
      <xdr:rowOff>0</xdr:rowOff>
    </xdr:from>
    <xdr:to>
      <xdr:col>2</xdr:col>
      <xdr:colOff>425450</xdr:colOff>
      <xdr:row>9</xdr:row>
      <xdr:rowOff>19050</xdr:rowOff>
    </xdr:to>
    <xdr:cxnSp macro="">
      <xdr:nvCxnSpPr>
        <xdr:cNvPr id="10" name="Straight Connector 9">
          <a:extLst>
            <a:ext uri="{FF2B5EF4-FFF2-40B4-BE49-F238E27FC236}">
              <a16:creationId xmlns:a16="http://schemas.microsoft.com/office/drawing/2014/main" id="{3BA19E4A-898C-445C-9415-778BAFECE3FE}"/>
            </a:ext>
          </a:extLst>
        </xdr:cNvPr>
        <xdr:cNvCxnSpPr/>
      </xdr:nvCxnSpPr>
      <xdr:spPr>
        <a:xfrm>
          <a:off x="1028700" y="2927350"/>
          <a:ext cx="6350" cy="108585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381000</xdr:colOff>
      <xdr:row>9</xdr:row>
      <xdr:rowOff>0</xdr:rowOff>
    </xdr:from>
    <xdr:to>
      <xdr:col>9</xdr:col>
      <xdr:colOff>387350</xdr:colOff>
      <xdr:row>9</xdr:row>
      <xdr:rowOff>12700</xdr:rowOff>
    </xdr:to>
    <xdr:cxnSp macro="">
      <xdr:nvCxnSpPr>
        <xdr:cNvPr id="11" name="Straight Connector 10">
          <a:extLst>
            <a:ext uri="{FF2B5EF4-FFF2-40B4-BE49-F238E27FC236}">
              <a16:creationId xmlns:a16="http://schemas.microsoft.com/office/drawing/2014/main" id="{F258EF2C-AF8B-4500-AD2B-BC2FC0B2B1CF}"/>
            </a:ext>
          </a:extLst>
        </xdr:cNvPr>
        <xdr:cNvCxnSpPr/>
      </xdr:nvCxnSpPr>
      <xdr:spPr>
        <a:xfrm>
          <a:off x="7600950" y="2921000"/>
          <a:ext cx="6350" cy="108585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9</xdr:col>
      <xdr:colOff>157165</xdr:colOff>
      <xdr:row>44</xdr:row>
      <xdr:rowOff>36022</xdr:rowOff>
    </xdr:from>
    <xdr:to>
      <xdr:col>9</xdr:col>
      <xdr:colOff>685804</xdr:colOff>
      <xdr:row>44</xdr:row>
      <xdr:rowOff>320958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7C53435-D80F-4F86-8FFC-881EBA19A5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16200000">
          <a:off x="6271195" y="15096068"/>
          <a:ext cx="273506" cy="528639"/>
        </a:xfrm>
        <a:prstGeom prst="rect">
          <a:avLst/>
        </a:prstGeom>
      </xdr:spPr>
    </xdr:pic>
    <xdr:clientData/>
  </xdr:twoCellAnchor>
  <xdr:twoCellAnchor editAs="oneCell">
    <xdr:from>
      <xdr:col>9</xdr:col>
      <xdr:colOff>204788</xdr:colOff>
      <xdr:row>41</xdr:row>
      <xdr:rowOff>23814</xdr:rowOff>
    </xdr:from>
    <xdr:to>
      <xdr:col>9</xdr:col>
      <xdr:colOff>704850</xdr:colOff>
      <xdr:row>42</xdr:row>
      <xdr:rowOff>932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10640718-6B33-4978-997B-7220C0FE21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191251" y="14254164"/>
          <a:ext cx="490537" cy="289538"/>
        </a:xfrm>
        <a:prstGeom prst="rect">
          <a:avLst/>
        </a:prstGeom>
      </xdr:spPr>
    </xdr:pic>
    <xdr:clientData/>
  </xdr:twoCellAnchor>
  <xdr:twoCellAnchor editAs="oneCell">
    <xdr:from>
      <xdr:col>9</xdr:col>
      <xdr:colOff>223838</xdr:colOff>
      <xdr:row>39</xdr:row>
      <xdr:rowOff>13815</xdr:rowOff>
    </xdr:from>
    <xdr:to>
      <xdr:col>9</xdr:col>
      <xdr:colOff>704323</xdr:colOff>
      <xdr:row>39</xdr:row>
      <xdr:rowOff>282893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675D4D8D-080A-4BA4-9582-843CC5219C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 rot="16200000">
          <a:off x="6323625" y="13492666"/>
          <a:ext cx="257648" cy="484295"/>
        </a:xfrm>
        <a:prstGeom prst="rect">
          <a:avLst/>
        </a:prstGeom>
      </xdr:spPr>
    </xdr:pic>
    <xdr:clientData/>
  </xdr:twoCellAnchor>
  <xdr:twoCellAnchor editAs="oneCell">
    <xdr:from>
      <xdr:col>9</xdr:col>
      <xdr:colOff>204786</xdr:colOff>
      <xdr:row>37</xdr:row>
      <xdr:rowOff>14288</xdr:rowOff>
    </xdr:from>
    <xdr:to>
      <xdr:col>9</xdr:col>
      <xdr:colOff>705802</xdr:colOff>
      <xdr:row>37</xdr:row>
      <xdr:rowOff>284029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EE7EDE1-681C-453F-90B8-F4C8AA476E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191249" y="12968288"/>
          <a:ext cx="504826" cy="273551"/>
        </a:xfrm>
        <a:prstGeom prst="rect">
          <a:avLst/>
        </a:prstGeom>
      </xdr:spPr>
    </xdr:pic>
    <xdr:clientData/>
  </xdr:twoCellAnchor>
  <xdr:twoCellAnchor editAs="oneCell">
    <xdr:from>
      <xdr:col>9</xdr:col>
      <xdr:colOff>176213</xdr:colOff>
      <xdr:row>43</xdr:row>
      <xdr:rowOff>42864</xdr:rowOff>
    </xdr:from>
    <xdr:to>
      <xdr:col>9</xdr:col>
      <xdr:colOff>701040</xdr:colOff>
      <xdr:row>44</xdr:row>
      <xdr:rowOff>121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75471D1A-1C9A-4C84-AC02-17D85B50E7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162676" y="14911389"/>
          <a:ext cx="528637" cy="276344"/>
        </a:xfrm>
        <a:prstGeom prst="rect">
          <a:avLst/>
        </a:prstGeom>
      </xdr:spPr>
    </xdr:pic>
    <xdr:clientData/>
  </xdr:twoCellAnchor>
  <xdr:twoCellAnchor editAs="oneCell">
    <xdr:from>
      <xdr:col>9</xdr:col>
      <xdr:colOff>209549</xdr:colOff>
      <xdr:row>38</xdr:row>
      <xdr:rowOff>47623</xdr:rowOff>
    </xdr:from>
    <xdr:to>
      <xdr:col>9</xdr:col>
      <xdr:colOff>706755</xdr:colOff>
      <xdr:row>39</xdr:row>
      <xdr:rowOff>2086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F50A8F80-B194-499F-8583-547E1BEB53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196012" y="13320711"/>
          <a:ext cx="504826" cy="273551"/>
        </a:xfrm>
        <a:prstGeom prst="rect">
          <a:avLst/>
        </a:prstGeom>
      </xdr:spPr>
    </xdr:pic>
    <xdr:clientData/>
  </xdr:twoCellAnchor>
  <xdr:twoCellAnchor editAs="oneCell">
    <xdr:from>
      <xdr:col>9</xdr:col>
      <xdr:colOff>209552</xdr:colOff>
      <xdr:row>40</xdr:row>
      <xdr:rowOff>23340</xdr:rowOff>
    </xdr:from>
    <xdr:to>
      <xdr:col>9</xdr:col>
      <xdr:colOff>701467</xdr:colOff>
      <xdr:row>40</xdr:row>
      <xdr:rowOff>284798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3EEE429E-655B-4524-BC4B-275266D686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 rot="16200000">
          <a:off x="6309339" y="13821279"/>
          <a:ext cx="257648" cy="484295"/>
        </a:xfrm>
        <a:prstGeom prst="rect">
          <a:avLst/>
        </a:prstGeom>
      </xdr:spPr>
    </xdr:pic>
    <xdr:clientData/>
  </xdr:twoCellAnchor>
  <xdr:twoCellAnchor editAs="oneCell">
    <xdr:from>
      <xdr:col>9</xdr:col>
      <xdr:colOff>190501</xdr:colOff>
      <xdr:row>42</xdr:row>
      <xdr:rowOff>38100</xdr:rowOff>
    </xdr:from>
    <xdr:to>
      <xdr:col>9</xdr:col>
      <xdr:colOff>701992</xdr:colOff>
      <xdr:row>43</xdr:row>
      <xdr:rowOff>2527</xdr:rowOff>
    </xdr:to>
    <xdr:pic>
      <xdr:nvPicPr>
        <xdr:cNvPr id="44" name="Picture 43">
          <a:extLst>
            <a:ext uri="{FF2B5EF4-FFF2-40B4-BE49-F238E27FC236}">
              <a16:creationId xmlns:a16="http://schemas.microsoft.com/office/drawing/2014/main" id="{9F121DB5-A570-4A5E-A36A-D6D4CEEBA2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176964" y="14587538"/>
          <a:ext cx="500061" cy="280657"/>
        </a:xfrm>
        <a:prstGeom prst="rect">
          <a:avLst/>
        </a:prstGeom>
      </xdr:spPr>
    </xdr:pic>
    <xdr:clientData/>
  </xdr:twoCellAnchor>
  <xdr:twoCellAnchor editAs="oneCell">
    <xdr:from>
      <xdr:col>12</xdr:col>
      <xdr:colOff>180978</xdr:colOff>
      <xdr:row>39</xdr:row>
      <xdr:rowOff>42390</xdr:rowOff>
    </xdr:from>
    <xdr:to>
      <xdr:col>12</xdr:col>
      <xdr:colOff>689085</xdr:colOff>
      <xdr:row>39</xdr:row>
      <xdr:rowOff>288608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125551B3-05E9-4D6A-BA30-D92F77EFF8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 rot="16200000">
          <a:off x="9007296" y="13799848"/>
          <a:ext cx="257648" cy="508107"/>
        </a:xfrm>
        <a:prstGeom prst="rect">
          <a:avLst/>
        </a:prstGeom>
      </xdr:spPr>
    </xdr:pic>
    <xdr:clientData/>
  </xdr:twoCellAnchor>
  <xdr:twoCellAnchor editAs="oneCell">
    <xdr:from>
      <xdr:col>12</xdr:col>
      <xdr:colOff>185737</xdr:colOff>
      <xdr:row>37</xdr:row>
      <xdr:rowOff>42863</xdr:rowOff>
    </xdr:from>
    <xdr:to>
      <xdr:col>12</xdr:col>
      <xdr:colOff>701993</xdr:colOff>
      <xdr:row>38</xdr:row>
      <xdr:rowOff>184</xdr:rowOff>
    </xdr:to>
    <xdr:pic>
      <xdr:nvPicPr>
        <xdr:cNvPr id="46" name="Picture 45">
          <a:extLst>
            <a:ext uri="{FF2B5EF4-FFF2-40B4-BE49-F238E27FC236}">
              <a16:creationId xmlns:a16="http://schemas.microsoft.com/office/drawing/2014/main" id="{71E1304B-42B8-4ED0-902F-903B74AD67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8886825" y="13287376"/>
          <a:ext cx="504826" cy="273551"/>
        </a:xfrm>
        <a:prstGeom prst="rect">
          <a:avLst/>
        </a:prstGeom>
      </xdr:spPr>
    </xdr:pic>
    <xdr:clientData/>
  </xdr:twoCellAnchor>
  <xdr:twoCellAnchor editAs="oneCell">
    <xdr:from>
      <xdr:col>12</xdr:col>
      <xdr:colOff>209551</xdr:colOff>
      <xdr:row>38</xdr:row>
      <xdr:rowOff>33338</xdr:rowOff>
    </xdr:from>
    <xdr:to>
      <xdr:col>12</xdr:col>
      <xdr:colOff>701466</xdr:colOff>
      <xdr:row>38</xdr:row>
      <xdr:rowOff>287176</xdr:rowOff>
    </xdr:to>
    <xdr:pic>
      <xdr:nvPicPr>
        <xdr:cNvPr id="47" name="Picture 46">
          <a:extLst>
            <a:ext uri="{FF2B5EF4-FFF2-40B4-BE49-F238E27FC236}">
              <a16:creationId xmlns:a16="http://schemas.microsoft.com/office/drawing/2014/main" id="{5FD021ED-08DB-48F5-A13C-834443EAA2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 rot="16200000">
          <a:off x="9023963" y="13483614"/>
          <a:ext cx="257648" cy="484295"/>
        </a:xfrm>
        <a:prstGeom prst="rect">
          <a:avLst/>
        </a:prstGeom>
      </xdr:spPr>
    </xdr:pic>
    <xdr:clientData/>
  </xdr:twoCellAnchor>
  <xdr:twoCellAnchor editAs="oneCell">
    <xdr:from>
      <xdr:col>12</xdr:col>
      <xdr:colOff>171450</xdr:colOff>
      <xdr:row>42</xdr:row>
      <xdr:rowOff>38102</xdr:rowOff>
    </xdr:from>
    <xdr:to>
      <xdr:col>12</xdr:col>
      <xdr:colOff>703897</xdr:colOff>
      <xdr:row>43</xdr:row>
      <xdr:rowOff>121</xdr:rowOff>
    </xdr:to>
    <xdr:pic>
      <xdr:nvPicPr>
        <xdr:cNvPr id="48" name="Picture 47">
          <a:extLst>
            <a:ext uri="{FF2B5EF4-FFF2-40B4-BE49-F238E27FC236}">
              <a16:creationId xmlns:a16="http://schemas.microsoft.com/office/drawing/2014/main" id="{7063B902-54B5-4B4C-9BEF-0C28CA9D2E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8872538" y="14878052"/>
          <a:ext cx="528637" cy="276344"/>
        </a:xfrm>
        <a:prstGeom prst="rect">
          <a:avLst/>
        </a:prstGeom>
      </xdr:spPr>
    </xdr:pic>
    <xdr:clientData/>
  </xdr:twoCellAnchor>
  <xdr:twoCellAnchor editAs="oneCell">
    <xdr:from>
      <xdr:col>12</xdr:col>
      <xdr:colOff>185738</xdr:colOff>
      <xdr:row>41</xdr:row>
      <xdr:rowOff>33337</xdr:rowOff>
    </xdr:from>
    <xdr:to>
      <xdr:col>12</xdr:col>
      <xdr:colOff>685799</xdr:colOff>
      <xdr:row>42</xdr:row>
      <xdr:rowOff>1574</xdr:rowOff>
    </xdr:to>
    <xdr:pic>
      <xdr:nvPicPr>
        <xdr:cNvPr id="49" name="Picture 48">
          <a:extLst>
            <a:ext uri="{FF2B5EF4-FFF2-40B4-BE49-F238E27FC236}">
              <a16:creationId xmlns:a16="http://schemas.microsoft.com/office/drawing/2014/main" id="{3B04FF9A-2BED-4EEC-ACC7-9BC587879E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886826" y="14554200"/>
          <a:ext cx="500061" cy="280657"/>
        </a:xfrm>
        <a:prstGeom prst="rect">
          <a:avLst/>
        </a:prstGeom>
      </xdr:spPr>
    </xdr:pic>
    <xdr:clientData/>
  </xdr:twoCellAnchor>
  <xdr:twoCellAnchor editAs="oneCell">
    <xdr:from>
      <xdr:col>12</xdr:col>
      <xdr:colOff>171450</xdr:colOff>
      <xdr:row>43</xdr:row>
      <xdr:rowOff>28577</xdr:rowOff>
    </xdr:from>
    <xdr:to>
      <xdr:col>12</xdr:col>
      <xdr:colOff>703897</xdr:colOff>
      <xdr:row>43</xdr:row>
      <xdr:rowOff>304921</xdr:rowOff>
    </xdr:to>
    <xdr:pic>
      <xdr:nvPicPr>
        <xdr:cNvPr id="50" name="Picture 49">
          <a:extLst>
            <a:ext uri="{FF2B5EF4-FFF2-40B4-BE49-F238E27FC236}">
              <a16:creationId xmlns:a16="http://schemas.microsoft.com/office/drawing/2014/main" id="{88FEFC6D-CDE7-4F3C-BC2B-5C289AB1CC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8872538" y="15187615"/>
          <a:ext cx="528637" cy="276344"/>
        </a:xfrm>
        <a:prstGeom prst="rect">
          <a:avLst/>
        </a:prstGeom>
      </xdr:spPr>
    </xdr:pic>
    <xdr:clientData/>
  </xdr:twoCellAnchor>
  <xdr:twoCellAnchor editAs="oneCell">
    <xdr:from>
      <xdr:col>12</xdr:col>
      <xdr:colOff>166691</xdr:colOff>
      <xdr:row>44</xdr:row>
      <xdr:rowOff>21735</xdr:rowOff>
    </xdr:from>
    <xdr:to>
      <xdr:col>12</xdr:col>
      <xdr:colOff>704855</xdr:colOff>
      <xdr:row>44</xdr:row>
      <xdr:rowOff>285716</xdr:rowOff>
    </xdr:to>
    <xdr:pic>
      <xdr:nvPicPr>
        <xdr:cNvPr id="51" name="Picture 50">
          <a:extLst>
            <a:ext uri="{FF2B5EF4-FFF2-40B4-BE49-F238E27FC236}">
              <a16:creationId xmlns:a16="http://schemas.microsoft.com/office/drawing/2014/main" id="{C35C71D1-12B5-4965-9951-2A7F146E9D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16200000">
          <a:off x="8995346" y="15372293"/>
          <a:ext cx="273506" cy="528639"/>
        </a:xfrm>
        <a:prstGeom prst="rect">
          <a:avLst/>
        </a:prstGeom>
      </xdr:spPr>
    </xdr:pic>
    <xdr:clientData/>
  </xdr:twoCellAnchor>
  <xdr:twoCellAnchor editAs="oneCell">
    <xdr:from>
      <xdr:col>12</xdr:col>
      <xdr:colOff>185737</xdr:colOff>
      <xdr:row>40</xdr:row>
      <xdr:rowOff>15183</xdr:rowOff>
    </xdr:from>
    <xdr:to>
      <xdr:col>12</xdr:col>
      <xdr:colOff>669607</xdr:colOff>
      <xdr:row>40</xdr:row>
      <xdr:rowOff>284153</xdr:rowOff>
    </xdr:to>
    <xdr:pic>
      <xdr:nvPicPr>
        <xdr:cNvPr id="52" name="Picture 51">
          <a:extLst>
            <a:ext uri="{FF2B5EF4-FFF2-40B4-BE49-F238E27FC236}">
              <a16:creationId xmlns:a16="http://schemas.microsoft.com/office/drawing/2014/main" id="{B06E1A4B-87B0-45FB-B80F-4AD1791E6B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8886825" y="14216958"/>
          <a:ext cx="495300" cy="282305"/>
        </a:xfrm>
        <a:prstGeom prst="rect">
          <a:avLst/>
        </a:prstGeom>
      </xdr:spPr>
    </xdr:pic>
    <xdr:clientData/>
  </xdr:twoCellAnchor>
  <xdr:twoCellAnchor editAs="oneCell">
    <xdr:from>
      <xdr:col>0</xdr:col>
      <xdr:colOff>523876</xdr:colOff>
      <xdr:row>9</xdr:row>
      <xdr:rowOff>433388</xdr:rowOff>
    </xdr:from>
    <xdr:to>
      <xdr:col>7</xdr:col>
      <xdr:colOff>282952</xdr:colOff>
      <xdr:row>9</xdr:row>
      <xdr:rowOff>1925014</xdr:rowOff>
    </xdr:to>
    <xdr:pic>
      <xdr:nvPicPr>
        <xdr:cNvPr id="53" name="Picture 52">
          <a:extLst>
            <a:ext uri="{FF2B5EF4-FFF2-40B4-BE49-F238E27FC236}">
              <a16:creationId xmlns:a16="http://schemas.microsoft.com/office/drawing/2014/main" id="{81EF48C1-5F6C-47B3-912B-29778F2996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523876" y="3090863"/>
          <a:ext cx="8124884" cy="1495436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6B8CF-98AE-4DC9-9DC6-C45CB37DF509}">
  <dimension ref="A1:L53"/>
  <sheetViews>
    <sheetView showGridLines="0" tabSelected="1" zoomScale="108" workbookViewId="0">
      <selection activeCell="K11" sqref="K11"/>
    </sheetView>
  </sheetViews>
  <sheetFormatPr defaultColWidth="8" defaultRowHeight="11.4"/>
  <cols>
    <col min="1" max="1" width="14.6640625" style="1" customWidth="1"/>
    <col min="2" max="2" width="33.109375" style="2" customWidth="1"/>
    <col min="3" max="3" width="20.21875" style="2" customWidth="1"/>
    <col min="4" max="4" width="11.6640625" style="1" customWidth="1"/>
    <col min="5" max="5" width="11.21875" style="1" hidden="1" customWidth="1"/>
    <col min="6" max="6" width="11.6640625" style="1" customWidth="1"/>
    <col min="7" max="7" width="13.44140625" style="1" customWidth="1"/>
    <col min="8" max="8" width="10.44140625" style="49" customWidth="1"/>
    <col min="9" max="16384" width="8" style="2"/>
  </cols>
  <sheetData>
    <row r="1" spans="1:8" ht="16.5" customHeight="1"/>
    <row r="2" spans="1:8" ht="25.95" customHeight="1">
      <c r="B2" s="111" t="s">
        <v>0</v>
      </c>
      <c r="C2" s="111"/>
      <c r="D2" s="111"/>
      <c r="E2" s="111"/>
      <c r="F2" s="111"/>
      <c r="G2" s="111"/>
      <c r="H2" s="57" t="s">
        <v>55</v>
      </c>
    </row>
    <row r="3" spans="1:8" ht="12" customHeight="1">
      <c r="B3" s="111"/>
      <c r="C3" s="111"/>
      <c r="D3" s="111"/>
      <c r="E3" s="111"/>
      <c r="F3" s="111"/>
      <c r="G3" s="111"/>
      <c r="H3" s="50"/>
    </row>
    <row r="4" spans="1:8" ht="12" customHeight="1">
      <c r="B4" s="111"/>
      <c r="C4" s="111"/>
      <c r="D4" s="111"/>
      <c r="E4" s="111"/>
      <c r="F4" s="111"/>
      <c r="G4" s="111"/>
      <c r="H4" s="50"/>
    </row>
    <row r="5" spans="1:8" ht="12" customHeight="1">
      <c r="B5" s="111"/>
      <c r="C5" s="111"/>
      <c r="D5" s="111"/>
      <c r="E5" s="111"/>
      <c r="F5" s="111"/>
      <c r="G5" s="111"/>
      <c r="H5" s="50"/>
    </row>
    <row r="6" spans="1:8" ht="12" customHeight="1">
      <c r="B6" s="111"/>
      <c r="C6" s="111"/>
      <c r="D6" s="111"/>
      <c r="E6" s="111"/>
      <c r="F6" s="111"/>
      <c r="G6" s="111"/>
      <c r="H6" s="50"/>
    </row>
    <row r="7" spans="1:8" ht="55.95" customHeight="1">
      <c r="A7" s="110" t="s">
        <v>31</v>
      </c>
      <c r="B7" s="110"/>
      <c r="C7" s="110"/>
      <c r="D7" s="110"/>
      <c r="E7" s="110"/>
      <c r="F7" s="110"/>
      <c r="G7" s="110"/>
      <c r="H7" s="51"/>
    </row>
    <row r="8" spans="1:8" s="11" customFormat="1" ht="21" customHeight="1">
      <c r="A8" s="10" t="s">
        <v>1</v>
      </c>
      <c r="B8" s="107">
        <v>46238</v>
      </c>
      <c r="F8" s="64" t="s">
        <v>37</v>
      </c>
      <c r="G8" s="67" t="s">
        <v>63</v>
      </c>
      <c r="H8" s="66"/>
    </row>
    <row r="9" spans="1:8" s="11" customFormat="1" ht="21" customHeight="1">
      <c r="A9" s="10" t="s">
        <v>2</v>
      </c>
      <c r="B9" s="11" t="s">
        <v>3</v>
      </c>
      <c r="D9" s="10"/>
      <c r="E9" s="10"/>
      <c r="F9" s="10" t="s">
        <v>95</v>
      </c>
      <c r="G9" s="10" t="s">
        <v>12</v>
      </c>
      <c r="H9" s="84"/>
    </row>
    <row r="10" spans="1:8" s="11" customFormat="1" ht="21" customHeight="1">
      <c r="A10" s="10" t="s">
        <v>4</v>
      </c>
      <c r="B10" s="11" t="s">
        <v>62</v>
      </c>
      <c r="D10" s="10"/>
      <c r="E10" s="10"/>
      <c r="F10" s="65" t="s">
        <v>54</v>
      </c>
      <c r="H10" s="68">
        <v>300</v>
      </c>
    </row>
    <row r="11" spans="1:8" s="11" customFormat="1" ht="21" customHeight="1">
      <c r="A11" s="44" t="s">
        <v>96</v>
      </c>
      <c r="B11" s="69" t="s">
        <v>135</v>
      </c>
      <c r="C11" s="85"/>
      <c r="D11" s="10"/>
      <c r="E11" s="10"/>
      <c r="F11" s="65" t="s">
        <v>99</v>
      </c>
      <c r="H11" s="68"/>
    </row>
    <row r="12" spans="1:8" s="11" customFormat="1" ht="21" customHeight="1">
      <c r="A12" s="10" t="s">
        <v>97</v>
      </c>
      <c r="B12" s="69"/>
      <c r="D12" s="109" t="s">
        <v>100</v>
      </c>
      <c r="E12" s="109"/>
      <c r="F12" s="109"/>
      <c r="H12" s="68"/>
    </row>
    <row r="13" spans="1:8" s="28" customFormat="1" ht="37.5" customHeight="1">
      <c r="A13" s="26"/>
      <c r="D13" s="26"/>
      <c r="E13" s="26"/>
      <c r="F13" s="26" t="s">
        <v>12</v>
      </c>
      <c r="G13" s="26"/>
      <c r="H13" s="83"/>
    </row>
    <row r="14" spans="1:8" s="28" customFormat="1" ht="21" customHeight="1">
      <c r="A14" s="26"/>
      <c r="D14" s="26"/>
      <c r="E14" s="26"/>
      <c r="F14" s="26"/>
      <c r="G14" s="26"/>
      <c r="H14" s="52"/>
    </row>
    <row r="15" spans="1:8" s="28" customFormat="1" ht="21" customHeight="1">
      <c r="A15" s="26"/>
      <c r="D15" s="26"/>
      <c r="E15" s="26"/>
      <c r="F15" s="26"/>
      <c r="G15" s="26"/>
      <c r="H15" s="52"/>
    </row>
    <row r="16" spans="1:8" s="28" customFormat="1" ht="21" customHeight="1">
      <c r="A16" s="26"/>
      <c r="D16" s="26"/>
      <c r="E16" s="26"/>
      <c r="F16" s="26"/>
      <c r="G16" s="26"/>
      <c r="H16" s="52"/>
    </row>
    <row r="17" spans="1:12" s="28" customFormat="1" ht="21" customHeight="1">
      <c r="A17" s="26"/>
      <c r="D17" s="26"/>
      <c r="E17" s="26"/>
      <c r="F17" s="26"/>
      <c r="G17" s="26"/>
      <c r="H17" s="52"/>
    </row>
    <row r="18" spans="1:12" s="28" customFormat="1" ht="21" customHeight="1">
      <c r="A18" s="26"/>
      <c r="D18" s="26"/>
      <c r="E18" s="26"/>
      <c r="F18" s="26"/>
      <c r="G18" s="26"/>
      <c r="H18" s="52"/>
    </row>
    <row r="19" spans="1:12" s="6" customFormat="1" ht="21" customHeight="1">
      <c r="A19" s="6" t="s">
        <v>19</v>
      </c>
      <c r="B19" s="75" t="s">
        <v>23</v>
      </c>
      <c r="C19" s="70">
        <v>381</v>
      </c>
      <c r="D19" s="48" t="s">
        <v>22</v>
      </c>
      <c r="E19" s="70">
        <f>C19-F19</f>
        <v>368.3</v>
      </c>
      <c r="F19" s="48">
        <v>12.7</v>
      </c>
      <c r="G19" s="60">
        <f>C19-F19</f>
        <v>368.3</v>
      </c>
      <c r="H19" s="53">
        <f>C19+F19</f>
        <v>393.7</v>
      </c>
    </row>
    <row r="20" spans="1:12" s="6" customFormat="1" ht="21" customHeight="1">
      <c r="A20" s="6" t="s">
        <v>20</v>
      </c>
      <c r="B20" s="75" t="s">
        <v>49</v>
      </c>
      <c r="C20" s="71">
        <v>114.3</v>
      </c>
      <c r="D20" s="48" t="s">
        <v>22</v>
      </c>
      <c r="E20" s="70">
        <f>C20-F20</f>
        <v>107.95</v>
      </c>
      <c r="F20" s="48">
        <v>6.35</v>
      </c>
      <c r="G20" s="60">
        <f t="shared" ref="G20:G21" si="0">C20-F20</f>
        <v>107.95</v>
      </c>
      <c r="H20" s="53">
        <f t="shared" ref="H20:H21" si="1">C20+F20</f>
        <v>120.64999999999999</v>
      </c>
    </row>
    <row r="21" spans="1:12" s="6" customFormat="1" ht="21" customHeight="1">
      <c r="A21" s="6" t="s">
        <v>21</v>
      </c>
      <c r="B21" s="75" t="s">
        <v>24</v>
      </c>
      <c r="C21" s="71">
        <v>151.88999999999999</v>
      </c>
      <c r="D21" s="48" t="s">
        <v>22</v>
      </c>
      <c r="E21" s="70">
        <f>C21-F21</f>
        <v>150.36999999999998</v>
      </c>
      <c r="F21" s="48">
        <v>1.52</v>
      </c>
      <c r="G21" s="60">
        <f t="shared" si="0"/>
        <v>150.36999999999998</v>
      </c>
      <c r="H21" s="53">
        <f t="shared" si="1"/>
        <v>153.41</v>
      </c>
    </row>
    <row r="22" spans="1:12" s="6" customFormat="1" ht="39.75" customHeight="1">
      <c r="A22" s="5"/>
      <c r="B22" s="6" t="s">
        <v>32</v>
      </c>
      <c r="C22" s="100">
        <v>2</v>
      </c>
      <c r="D22" s="5"/>
      <c r="E22" s="5"/>
      <c r="F22" s="4" t="s">
        <v>33</v>
      </c>
      <c r="G22" s="5" t="s">
        <v>12</v>
      </c>
      <c r="H22" s="48"/>
    </row>
    <row r="23" spans="1:12" s="46" customFormat="1" ht="16.05" customHeight="1">
      <c r="A23" s="45" t="s">
        <v>86</v>
      </c>
      <c r="B23" s="45" t="s">
        <v>30</v>
      </c>
      <c r="D23" s="47"/>
      <c r="E23" s="45"/>
      <c r="F23" s="82" t="s">
        <v>93</v>
      </c>
      <c r="G23" s="47" t="str">
        <f>_xlfn.XLOOKUP(F23,'A2'!L38:L45,'A2'!K38:K45,0,0)</f>
        <v xml:space="preserve">AYHEC871 </v>
      </c>
      <c r="H23" s="54"/>
    </row>
    <row r="24" spans="1:12" s="46" customFormat="1" ht="16.05" customHeight="1">
      <c r="A24" s="45" t="s">
        <v>87</v>
      </c>
      <c r="B24" s="45" t="s">
        <v>30</v>
      </c>
      <c r="D24" s="47"/>
      <c r="E24" s="45"/>
      <c r="F24" s="82" t="s">
        <v>89</v>
      </c>
      <c r="G24" s="47" t="str">
        <f>_xlfn.XLOOKUP(F24,'A2'!L38:L45,'A2'!K38:K45,0,0)</f>
        <v>AYFEC869</v>
      </c>
      <c r="H24" s="54"/>
    </row>
    <row r="25" spans="1:12" s="46" customFormat="1" ht="16.05" customHeight="1">
      <c r="A25" s="45" t="s">
        <v>88</v>
      </c>
      <c r="B25" s="45" t="s">
        <v>30</v>
      </c>
      <c r="D25" s="47"/>
      <c r="E25" s="45"/>
      <c r="F25" s="82" t="s">
        <v>90</v>
      </c>
      <c r="G25" s="47" t="str">
        <f>_xlfn.XLOOKUP(F25,'A2'!L38:L45,'A2'!K38:K45,0,0)</f>
        <v>AYIEC871</v>
      </c>
      <c r="H25" s="54"/>
    </row>
    <row r="26" spans="1:12" s="46" customFormat="1" ht="16.05" customHeight="1">
      <c r="A26" s="45" t="s">
        <v>8</v>
      </c>
      <c r="B26" s="45" t="s">
        <v>98</v>
      </c>
      <c r="D26" s="47"/>
      <c r="E26" s="45"/>
      <c r="F26" s="82" t="s">
        <v>104</v>
      </c>
      <c r="G26" s="106" t="s">
        <v>134</v>
      </c>
      <c r="H26" s="54"/>
    </row>
    <row r="27" spans="1:12" s="11" customFormat="1" ht="36" customHeight="1">
      <c r="A27" s="13" t="s">
        <v>13</v>
      </c>
      <c r="D27" s="10"/>
      <c r="E27" s="10"/>
      <c r="F27" s="10"/>
      <c r="G27" s="10"/>
      <c r="H27" s="44"/>
      <c r="J27" s="72" t="s">
        <v>104</v>
      </c>
      <c r="K27" s="72" t="s">
        <v>105</v>
      </c>
      <c r="L27" s="72" t="s">
        <v>106</v>
      </c>
    </row>
    <row r="28" spans="1:12" s="11" customFormat="1" ht="21" customHeight="1">
      <c r="A28" s="10"/>
      <c r="D28" s="10"/>
      <c r="E28" s="10"/>
      <c r="F28" s="10"/>
      <c r="G28" s="10"/>
      <c r="H28" s="44"/>
      <c r="J28" s="73" t="s">
        <v>107</v>
      </c>
      <c r="K28" s="103" t="s">
        <v>112</v>
      </c>
      <c r="L28" s="103" t="s">
        <v>123</v>
      </c>
    </row>
    <row r="29" spans="1:12" s="11" customFormat="1" ht="21" customHeight="1">
      <c r="A29" s="112" t="s">
        <v>5</v>
      </c>
      <c r="B29" s="113" t="s">
        <v>6</v>
      </c>
      <c r="C29" s="112" t="s">
        <v>18</v>
      </c>
      <c r="D29" s="112" t="s">
        <v>50</v>
      </c>
      <c r="E29" s="115" t="s">
        <v>7</v>
      </c>
      <c r="F29" s="117" t="s">
        <v>51</v>
      </c>
      <c r="G29" s="108" t="s">
        <v>52</v>
      </c>
      <c r="H29" s="108"/>
      <c r="J29" s="73" t="s">
        <v>108</v>
      </c>
      <c r="K29" s="103" t="s">
        <v>113</v>
      </c>
      <c r="L29" s="103" t="s">
        <v>124</v>
      </c>
    </row>
    <row r="30" spans="1:12" s="11" customFormat="1" ht="21" customHeight="1">
      <c r="A30" s="112"/>
      <c r="B30" s="114"/>
      <c r="C30" s="112"/>
      <c r="D30" s="112"/>
      <c r="E30" s="116"/>
      <c r="F30" s="118"/>
      <c r="G30" s="115"/>
      <c r="H30" s="108"/>
      <c r="J30" s="73" t="s">
        <v>110</v>
      </c>
      <c r="K30" s="103" t="s">
        <v>120</v>
      </c>
      <c r="L30" s="104" t="s">
        <v>125</v>
      </c>
    </row>
    <row r="31" spans="1:12" s="17" customFormat="1" ht="21" customHeight="1">
      <c r="A31" s="7">
        <v>1</v>
      </c>
      <c r="B31" s="14" t="s">
        <v>8</v>
      </c>
      <c r="C31" s="15" t="str">
        <f>F26</f>
        <v>Pharmed</v>
      </c>
      <c r="D31" s="15"/>
      <c r="E31" s="16" t="e">
        <f>D31*#REF!*(#REF!+#REF!)</f>
        <v>#REF!</v>
      </c>
      <c r="F31" s="61" t="s">
        <v>12</v>
      </c>
      <c r="G31" s="58" t="s">
        <v>56</v>
      </c>
      <c r="H31" s="62"/>
      <c r="J31" s="73" t="s">
        <v>111</v>
      </c>
      <c r="K31" s="103" t="s">
        <v>114</v>
      </c>
      <c r="L31" s="103" t="s">
        <v>126</v>
      </c>
    </row>
    <row r="32" spans="1:12" s="17" customFormat="1" ht="21" customHeight="1">
      <c r="A32" s="8">
        <v>2</v>
      </c>
      <c r="B32" s="18" t="s">
        <v>58</v>
      </c>
      <c r="C32" s="81" t="str">
        <f t="shared" ref="C32:D34" si="2">F23</f>
        <v>ฟ้า</v>
      </c>
      <c r="D32" s="78" t="str">
        <f t="shared" si="2"/>
        <v xml:space="preserve">AYHEC871 </v>
      </c>
      <c r="E32" s="15"/>
      <c r="F32" s="15">
        <f>H10*1</f>
        <v>300</v>
      </c>
      <c r="G32" s="15" t="s">
        <v>57</v>
      </c>
      <c r="H32" s="62"/>
      <c r="J32" s="73" t="s">
        <v>107</v>
      </c>
      <c r="K32" s="103" t="s">
        <v>115</v>
      </c>
      <c r="L32" s="103" t="s">
        <v>127</v>
      </c>
    </row>
    <row r="33" spans="1:12" s="17" customFormat="1" ht="21" customHeight="1">
      <c r="A33" s="8"/>
      <c r="B33" s="18" t="s">
        <v>59</v>
      </c>
      <c r="C33" s="81" t="str">
        <f t="shared" si="2"/>
        <v>ดำ</v>
      </c>
      <c r="D33" s="79" t="str">
        <f t="shared" si="2"/>
        <v>AYFEC869</v>
      </c>
      <c r="E33" s="15"/>
      <c r="F33" s="15">
        <f>H10*1</f>
        <v>300</v>
      </c>
      <c r="G33" s="15" t="s">
        <v>57</v>
      </c>
      <c r="H33" s="62"/>
      <c r="J33" s="73" t="s">
        <v>108</v>
      </c>
      <c r="K33" s="104" t="s">
        <v>121</v>
      </c>
      <c r="L33" s="105" t="s">
        <v>128</v>
      </c>
    </row>
    <row r="34" spans="1:12" s="17" customFormat="1" ht="21" customHeight="1">
      <c r="A34" s="8"/>
      <c r="B34" s="18" t="s">
        <v>60</v>
      </c>
      <c r="C34" s="77" t="str">
        <f t="shared" si="2"/>
        <v>เขียว</v>
      </c>
      <c r="D34" s="80" t="str">
        <f t="shared" si="2"/>
        <v>AYIEC871</v>
      </c>
      <c r="E34" s="15"/>
      <c r="F34" s="15">
        <f>H10*1</f>
        <v>300</v>
      </c>
      <c r="G34" s="15" t="s">
        <v>57</v>
      </c>
      <c r="H34" s="62"/>
      <c r="J34" s="73" t="s">
        <v>109</v>
      </c>
      <c r="K34" s="103" t="s">
        <v>116</v>
      </c>
      <c r="L34" s="103" t="s">
        <v>129</v>
      </c>
    </row>
    <row r="35" spans="1:12" s="17" customFormat="1" ht="21" customHeight="1">
      <c r="A35" s="8"/>
      <c r="B35" s="18" t="s">
        <v>61</v>
      </c>
      <c r="C35" s="76"/>
      <c r="D35" s="15"/>
      <c r="E35" s="15"/>
      <c r="F35" s="15"/>
      <c r="G35" s="15" t="s">
        <v>57</v>
      </c>
      <c r="H35" s="62"/>
      <c r="J35" s="73"/>
      <c r="K35" s="103" t="s">
        <v>117</v>
      </c>
      <c r="L35" s="103" t="s">
        <v>130</v>
      </c>
    </row>
    <row r="36" spans="1:12" s="17" customFormat="1" ht="21" customHeight="1">
      <c r="A36" s="8">
        <v>3</v>
      </c>
      <c r="B36" s="14" t="s">
        <v>9</v>
      </c>
      <c r="C36" s="18"/>
      <c r="D36" s="15"/>
      <c r="E36" s="15"/>
      <c r="F36" s="15">
        <v>2</v>
      </c>
      <c r="G36" s="15" t="s">
        <v>57</v>
      </c>
      <c r="H36" s="62"/>
      <c r="J36" s="4"/>
      <c r="K36" s="105" t="s">
        <v>122</v>
      </c>
      <c r="L36" s="105" t="s">
        <v>132</v>
      </c>
    </row>
    <row r="37" spans="1:12" s="17" customFormat="1" ht="21" customHeight="1">
      <c r="A37" s="8">
        <v>4</v>
      </c>
      <c r="B37" s="14" t="s">
        <v>14</v>
      </c>
      <c r="C37" s="19"/>
      <c r="D37" s="20"/>
      <c r="E37" s="15"/>
      <c r="F37" s="15">
        <v>2</v>
      </c>
      <c r="G37" s="15" t="s">
        <v>57</v>
      </c>
      <c r="H37" s="62"/>
      <c r="J37" s="2"/>
      <c r="K37" s="103" t="s">
        <v>118</v>
      </c>
      <c r="L37" s="103" t="s">
        <v>131</v>
      </c>
    </row>
    <row r="38" spans="1:12" s="17" customFormat="1" ht="21" customHeight="1">
      <c r="A38" s="8">
        <v>5</v>
      </c>
      <c r="B38" s="21" t="s">
        <v>15</v>
      </c>
      <c r="C38" s="20"/>
      <c r="D38" s="15"/>
      <c r="E38" s="15"/>
      <c r="F38" s="15">
        <f>H10/10</f>
        <v>30</v>
      </c>
      <c r="G38" s="15" t="s">
        <v>57</v>
      </c>
      <c r="H38" s="62"/>
      <c r="J38" s="2"/>
      <c r="K38" s="103" t="s">
        <v>119</v>
      </c>
      <c r="L38" s="103" t="s">
        <v>133</v>
      </c>
    </row>
    <row r="39" spans="1:12" s="17" customFormat="1" ht="21" customHeight="1">
      <c r="A39" s="8">
        <v>6</v>
      </c>
      <c r="B39" s="21" t="s">
        <v>10</v>
      </c>
      <c r="C39" s="20"/>
      <c r="D39" s="15"/>
      <c r="E39" s="15"/>
      <c r="F39" s="15">
        <f>H10</f>
        <v>300</v>
      </c>
      <c r="G39" s="15" t="s">
        <v>57</v>
      </c>
      <c r="H39" s="62"/>
      <c r="J39" s="2"/>
      <c r="K39" s="2"/>
      <c r="L39" s="2"/>
    </row>
    <row r="40" spans="1:12" s="17" customFormat="1" ht="21" customHeight="1">
      <c r="A40" s="8">
        <v>7</v>
      </c>
      <c r="B40" s="21" t="s">
        <v>11</v>
      </c>
      <c r="C40" s="20"/>
      <c r="D40" s="20"/>
      <c r="E40" s="15"/>
      <c r="F40" s="15">
        <v>2</v>
      </c>
      <c r="G40" s="15" t="s">
        <v>57</v>
      </c>
      <c r="H40" s="62"/>
    </row>
    <row r="41" spans="1:12" s="17" customFormat="1" ht="21" customHeight="1">
      <c r="A41" s="9">
        <v>8</v>
      </c>
      <c r="B41" s="14" t="s">
        <v>16</v>
      </c>
      <c r="C41" s="14"/>
      <c r="D41" s="20"/>
      <c r="E41" s="15"/>
      <c r="F41" s="15">
        <v>2</v>
      </c>
      <c r="G41" s="15" t="s">
        <v>57</v>
      </c>
      <c r="H41" s="62"/>
    </row>
    <row r="42" spans="1:12" s="17" customFormat="1" ht="21" customHeight="1">
      <c r="A42" s="9">
        <v>9</v>
      </c>
      <c r="B42" s="14" t="s">
        <v>17</v>
      </c>
      <c r="C42" s="14"/>
      <c r="D42" s="20"/>
      <c r="E42" s="15"/>
      <c r="F42" s="15">
        <v>2</v>
      </c>
      <c r="G42" s="15" t="s">
        <v>57</v>
      </c>
      <c r="H42" s="62"/>
    </row>
    <row r="43" spans="1:12" s="17" customFormat="1" ht="21" customHeight="1">
      <c r="A43" s="22"/>
      <c r="B43" s="23"/>
      <c r="C43" s="23"/>
      <c r="D43" s="22"/>
      <c r="E43" s="24"/>
      <c r="F43" s="24"/>
      <c r="G43" s="24"/>
      <c r="H43" s="55"/>
    </row>
    <row r="44" spans="1:12" s="17" customFormat="1" ht="21" customHeight="1">
      <c r="A44" s="22"/>
      <c r="B44" s="23"/>
      <c r="C44" s="23"/>
      <c r="D44" s="22"/>
      <c r="E44" s="24"/>
      <c r="F44" s="24"/>
      <c r="G44" s="24"/>
      <c r="H44" s="55"/>
    </row>
    <row r="45" spans="1:12" s="17" customFormat="1" ht="21" customHeight="1">
      <c r="A45" s="22"/>
      <c r="B45" s="23"/>
      <c r="C45" s="23"/>
      <c r="D45" s="22"/>
      <c r="E45" s="24"/>
      <c r="F45" s="24"/>
      <c r="G45" s="24"/>
      <c r="H45" s="55"/>
    </row>
    <row r="46" spans="1:12" s="11" customFormat="1" ht="21" customHeight="1">
      <c r="A46" s="10"/>
      <c r="B46" s="25"/>
      <c r="D46" s="10"/>
      <c r="E46" s="10"/>
      <c r="F46" s="10" t="s">
        <v>34</v>
      </c>
      <c r="G46" s="12"/>
      <c r="H46" s="44"/>
    </row>
    <row r="47" spans="1:12" s="11" customFormat="1" ht="21" customHeight="1">
      <c r="A47" s="10"/>
      <c r="D47" s="10"/>
      <c r="E47" s="10"/>
      <c r="H47" s="44"/>
    </row>
    <row r="48" spans="1:12" s="11" customFormat="1" ht="18" customHeight="1">
      <c r="A48" s="10"/>
      <c r="D48" s="10"/>
      <c r="E48" s="10"/>
      <c r="F48" s="10"/>
      <c r="G48" s="10"/>
      <c r="H48" s="44"/>
    </row>
    <row r="49" spans="1:8" s="11" customFormat="1" ht="18" customHeight="1">
      <c r="A49" s="10"/>
      <c r="D49" s="10"/>
      <c r="E49" s="10"/>
      <c r="G49" s="10"/>
      <c r="H49" s="44"/>
    </row>
    <row r="50" spans="1:8" s="11" customFormat="1" ht="18" customHeight="1">
      <c r="A50" s="10"/>
      <c r="D50" s="10"/>
      <c r="E50" s="10"/>
      <c r="F50" s="10" t="s">
        <v>35</v>
      </c>
      <c r="G50" s="59"/>
      <c r="H50" s="56"/>
    </row>
    <row r="51" spans="1:8" s="11" customFormat="1" ht="18" customHeight="1">
      <c r="A51" s="10"/>
      <c r="D51" s="10"/>
      <c r="E51" s="10"/>
      <c r="F51" s="10"/>
      <c r="G51" s="10"/>
      <c r="H51" s="44"/>
    </row>
    <row r="52" spans="1:8" s="11" customFormat="1" ht="18" customHeight="1">
      <c r="A52" s="10"/>
      <c r="D52" s="10"/>
      <c r="E52" s="10"/>
      <c r="F52" s="10"/>
      <c r="G52" s="10"/>
      <c r="H52" s="44"/>
    </row>
    <row r="53" spans="1:8" s="11" customFormat="1" ht="18" customHeight="1">
      <c r="A53" s="10"/>
      <c r="D53" s="10"/>
      <c r="E53" s="10"/>
      <c r="F53" s="10"/>
      <c r="G53" s="10"/>
      <c r="H53" s="44"/>
    </row>
  </sheetData>
  <mergeCells count="11">
    <mergeCell ref="H29:H30"/>
    <mergeCell ref="D12:F12"/>
    <mergeCell ref="A7:G7"/>
    <mergeCell ref="B2:G6"/>
    <mergeCell ref="A29:A30"/>
    <mergeCell ref="B29:B30"/>
    <mergeCell ref="C29:C30"/>
    <mergeCell ref="D29:D30"/>
    <mergeCell ref="E29:E30"/>
    <mergeCell ref="F29:F30"/>
    <mergeCell ref="G29:G30"/>
  </mergeCells>
  <phoneticPr fontId="20" type="noConversion"/>
  <dataValidations count="1">
    <dataValidation type="list" allowBlank="1" showInputMessage="1" showErrorMessage="1" sqref="F26" xr:uid="{AA356F1A-0620-4670-A58F-DFDA228FF6D9}">
      <formula1>"Pharmed, LMT_55,E_3603"</formula1>
    </dataValidation>
  </dataValidations>
  <pageMargins left="0.51181102362204722" right="0.31496062992125984" top="0.35433070866141736" bottom="0.15748031496062992" header="0.31496062992125984" footer="0.31496062992125984"/>
  <pageSetup paperSize="9" scale="75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66332C-E13E-40F9-9BC4-83CED49F9C2B}">
  <dimension ref="A1:M48"/>
  <sheetViews>
    <sheetView topLeftCell="A31" zoomScale="85" zoomScaleNormal="85" workbookViewId="0">
      <selection activeCell="E43" sqref="E43"/>
    </sheetView>
  </sheetViews>
  <sheetFormatPr defaultColWidth="8" defaultRowHeight="11.4"/>
  <cols>
    <col min="1" max="2" width="14.88671875" style="1" customWidth="1"/>
    <col min="3" max="4" width="15.77734375" style="2" customWidth="1"/>
    <col min="5" max="6" width="18.44140625" style="2" customWidth="1"/>
    <col min="7" max="7" width="11.6640625" style="1" customWidth="1"/>
    <col min="8" max="8" width="13.6640625" style="1" customWidth="1"/>
    <col min="9" max="9" width="13.44140625" style="2" customWidth="1"/>
    <col min="10" max="10" width="12.77734375" style="87" bestFit="1" customWidth="1"/>
    <col min="11" max="11" width="10.44140625" style="2" bestFit="1" customWidth="1"/>
    <col min="12" max="12" width="12.33203125" style="2" bestFit="1" customWidth="1"/>
    <col min="13" max="13" width="11.88671875" style="2" customWidth="1"/>
    <col min="14" max="16384" width="8" style="2"/>
  </cols>
  <sheetData>
    <row r="1" spans="1:11" ht="25.95" customHeight="1">
      <c r="A1" s="111" t="s">
        <v>103</v>
      </c>
      <c r="B1" s="111"/>
      <c r="C1" s="111"/>
      <c r="D1" s="111"/>
      <c r="E1" s="111"/>
      <c r="F1" s="111"/>
      <c r="G1" s="111"/>
      <c r="H1" s="111"/>
      <c r="I1" s="111"/>
      <c r="J1" s="111"/>
      <c r="K1" s="63"/>
    </row>
    <row r="2" spans="1:11" ht="12" customHeight="1">
      <c r="A2" s="111"/>
      <c r="B2" s="111"/>
      <c r="C2" s="111"/>
      <c r="D2" s="111"/>
      <c r="E2" s="111"/>
      <c r="F2" s="111"/>
      <c r="G2" s="111"/>
      <c r="H2" s="111"/>
      <c r="I2" s="111"/>
      <c r="J2" s="111"/>
    </row>
    <row r="3" spans="1:11" ht="12" customHeight="1">
      <c r="A3" s="111"/>
      <c r="B3" s="111"/>
      <c r="C3" s="111"/>
      <c r="D3" s="111"/>
      <c r="E3" s="111"/>
      <c r="F3" s="111"/>
      <c r="G3" s="111"/>
      <c r="H3" s="111"/>
      <c r="I3" s="111"/>
      <c r="J3" s="111"/>
    </row>
    <row r="4" spans="1:11" ht="12" customHeight="1">
      <c r="A4" s="111"/>
      <c r="B4" s="111"/>
      <c r="C4" s="111"/>
      <c r="D4" s="111"/>
      <c r="E4" s="111"/>
      <c r="F4" s="111"/>
      <c r="G4" s="111"/>
      <c r="H4" s="111"/>
      <c r="I4" s="111"/>
      <c r="J4" s="111"/>
    </row>
    <row r="5" spans="1:11" ht="12" customHeight="1">
      <c r="A5" s="111"/>
      <c r="B5" s="111"/>
      <c r="C5" s="111"/>
      <c r="D5" s="111"/>
      <c r="E5" s="111"/>
      <c r="F5" s="111"/>
      <c r="G5" s="111"/>
      <c r="H5" s="111"/>
      <c r="I5" s="111"/>
      <c r="J5" s="111"/>
    </row>
    <row r="6" spans="1:11" ht="55.95" customHeight="1">
      <c r="A6" s="110" t="s">
        <v>36</v>
      </c>
      <c r="B6" s="110"/>
      <c r="C6" s="110"/>
      <c r="D6" s="110"/>
      <c r="E6" s="110"/>
      <c r="F6" s="110"/>
      <c r="G6" s="110"/>
      <c r="H6" s="110"/>
      <c r="I6" s="110"/>
      <c r="J6" s="110"/>
      <c r="K6" s="110"/>
    </row>
    <row r="7" spans="1:11" s="28" customFormat="1" ht="21" customHeight="1">
      <c r="A7" s="26" t="s">
        <v>1</v>
      </c>
      <c r="B7" s="26"/>
      <c r="C7" s="27">
        <f>'A1'!B8</f>
        <v>46238</v>
      </c>
      <c r="D7" s="27"/>
      <c r="E7" s="27"/>
      <c r="F7" s="27"/>
      <c r="H7" s="102" t="s">
        <v>37</v>
      </c>
      <c r="I7" s="86" t="s">
        <v>63</v>
      </c>
      <c r="J7" s="88">
        <f>'A1'!H8</f>
        <v>0</v>
      </c>
      <c r="K7" s="27"/>
    </row>
    <row r="8" spans="1:11" s="28" customFormat="1" ht="21" customHeight="1">
      <c r="A8" s="26" t="s">
        <v>2</v>
      </c>
      <c r="B8" s="26"/>
      <c r="C8" s="28" t="s">
        <v>3</v>
      </c>
      <c r="G8" s="26"/>
      <c r="H8" s="10" t="s">
        <v>95</v>
      </c>
      <c r="I8" s="10" t="s">
        <v>12</v>
      </c>
      <c r="J8" s="89">
        <f>'A1'!H9</f>
        <v>0</v>
      </c>
    </row>
    <row r="9" spans="1:11" s="28" customFormat="1" ht="21" customHeight="1">
      <c r="A9" s="26" t="s">
        <v>4</v>
      </c>
      <c r="B9" s="26"/>
      <c r="C9" s="27" t="s">
        <v>101</v>
      </c>
      <c r="D9" s="101"/>
      <c r="E9" s="101"/>
      <c r="G9" s="26"/>
      <c r="H9" s="102" t="s">
        <v>102</v>
      </c>
      <c r="I9" s="27"/>
      <c r="J9" s="86">
        <f>'A1'!H11</f>
        <v>0</v>
      </c>
    </row>
    <row r="10" spans="1:11" s="28" customFormat="1" ht="193.2" customHeight="1">
      <c r="A10" s="26"/>
      <c r="B10" s="26"/>
      <c r="G10" s="26"/>
      <c r="H10" s="26"/>
      <c r="J10" s="86"/>
    </row>
    <row r="11" spans="1:11" s="28" customFormat="1" ht="28.95" customHeight="1">
      <c r="A11" s="26"/>
      <c r="B11" s="26"/>
      <c r="C11" s="28" t="s">
        <v>19</v>
      </c>
      <c r="F11" s="28" t="s">
        <v>23</v>
      </c>
      <c r="G11" s="98">
        <f>'A1'!G19</f>
        <v>368.3</v>
      </c>
      <c r="H11" s="98">
        <f>'A1'!H19</f>
        <v>393.7</v>
      </c>
      <c r="I11" s="26" t="s">
        <v>22</v>
      </c>
      <c r="J11" s="86"/>
    </row>
    <row r="12" spans="1:11" s="28" customFormat="1" ht="21" customHeight="1">
      <c r="A12" s="26"/>
      <c r="B12" s="26"/>
      <c r="C12" s="28" t="s">
        <v>20</v>
      </c>
      <c r="F12" s="28" t="s">
        <v>49</v>
      </c>
      <c r="G12" s="99">
        <f>'A1'!G20</f>
        <v>107.95</v>
      </c>
      <c r="H12" s="98">
        <f>'A1'!H20</f>
        <v>120.64999999999999</v>
      </c>
      <c r="I12" s="26" t="s">
        <v>22</v>
      </c>
      <c r="J12" s="86"/>
    </row>
    <row r="13" spans="1:11" s="28" customFormat="1" ht="21" customHeight="1">
      <c r="A13" s="26"/>
      <c r="B13" s="26"/>
      <c r="C13" s="28" t="s">
        <v>21</v>
      </c>
      <c r="F13" s="28" t="s">
        <v>24</v>
      </c>
      <c r="G13" s="99">
        <f>'A1'!G21</f>
        <v>150.36999999999998</v>
      </c>
      <c r="H13" s="98">
        <f>'A1'!H21</f>
        <v>153.41</v>
      </c>
      <c r="I13" s="26" t="s">
        <v>22</v>
      </c>
      <c r="J13" s="86"/>
    </row>
    <row r="14" spans="1:11" s="28" customFormat="1" ht="21" customHeight="1">
      <c r="A14" s="26"/>
      <c r="B14" s="26"/>
      <c r="C14" s="28" t="s">
        <v>32</v>
      </c>
      <c r="F14" s="28">
        <f>'A1'!C22</f>
        <v>2</v>
      </c>
      <c r="G14" s="26"/>
      <c r="H14" s="26"/>
      <c r="J14" s="86"/>
    </row>
    <row r="15" spans="1:11" s="28" customFormat="1" ht="21" customHeight="1">
      <c r="A15" s="26"/>
      <c r="B15" s="26"/>
      <c r="C15" s="28" t="s">
        <v>33</v>
      </c>
      <c r="F15" s="28" t="s">
        <v>12</v>
      </c>
      <c r="G15" s="26"/>
      <c r="H15" s="26"/>
      <c r="J15" s="86"/>
    </row>
    <row r="16" spans="1:11" s="28" customFormat="1" ht="21" customHeight="1">
      <c r="G16" s="26"/>
      <c r="H16" s="26"/>
      <c r="J16" s="86"/>
    </row>
    <row r="17" spans="1:10" s="6" customFormat="1" ht="21" customHeight="1">
      <c r="A17" s="5"/>
      <c r="B17" s="5"/>
      <c r="F17" s="29"/>
      <c r="G17" s="5"/>
      <c r="H17" s="5"/>
      <c r="J17" s="90"/>
    </row>
    <row r="18" spans="1:10" s="28" customFormat="1" ht="34.200000000000003" customHeight="1">
      <c r="A18" s="42" t="s">
        <v>38</v>
      </c>
      <c r="B18" s="42"/>
      <c r="G18" s="26"/>
      <c r="H18" s="26"/>
      <c r="J18" s="86"/>
    </row>
    <row r="19" spans="1:10" s="28" customFormat="1" ht="21" customHeight="1">
      <c r="A19" s="26"/>
      <c r="B19" s="26"/>
      <c r="G19" s="26"/>
      <c r="H19" s="26"/>
      <c r="J19" s="86"/>
    </row>
    <row r="20" spans="1:10" s="28" customFormat="1" ht="30.45" customHeight="1">
      <c r="A20" s="125" t="s">
        <v>5</v>
      </c>
      <c r="B20" s="129" t="s">
        <v>38</v>
      </c>
      <c r="C20" s="130"/>
      <c r="D20" s="130"/>
      <c r="E20" s="131"/>
      <c r="F20" s="108" t="s">
        <v>45</v>
      </c>
      <c r="G20" s="135" t="s">
        <v>46</v>
      </c>
      <c r="H20" s="136"/>
      <c r="I20" s="139" t="s">
        <v>53</v>
      </c>
      <c r="J20" s="140"/>
    </row>
    <row r="21" spans="1:10" s="28" customFormat="1" ht="21" customHeight="1">
      <c r="A21" s="125"/>
      <c r="B21" s="132"/>
      <c r="C21" s="133"/>
      <c r="D21" s="133"/>
      <c r="E21" s="134"/>
      <c r="F21" s="108"/>
      <c r="G21" s="137"/>
      <c r="H21" s="138"/>
      <c r="I21" s="43" t="s">
        <v>47</v>
      </c>
      <c r="J21" s="91" t="s">
        <v>48</v>
      </c>
    </row>
    <row r="22" spans="1:10" s="34" customFormat="1" ht="21" customHeight="1">
      <c r="A22" s="30">
        <v>1</v>
      </c>
      <c r="B22" s="122" t="s">
        <v>19</v>
      </c>
      <c r="C22" s="123"/>
      <c r="D22" s="123"/>
      <c r="E22" s="124"/>
      <c r="F22" s="32"/>
      <c r="G22" s="120" t="s">
        <v>12</v>
      </c>
      <c r="H22" s="121"/>
      <c r="I22" s="33"/>
      <c r="J22" s="92"/>
    </row>
    <row r="23" spans="1:10" s="34" customFormat="1" ht="21" customHeight="1">
      <c r="A23" s="32">
        <v>2</v>
      </c>
      <c r="B23" s="122" t="s">
        <v>20</v>
      </c>
      <c r="C23" s="123"/>
      <c r="D23" s="123"/>
      <c r="E23" s="124"/>
      <c r="F23" s="35"/>
      <c r="G23" s="120" t="s">
        <v>12</v>
      </c>
      <c r="H23" s="121"/>
      <c r="I23" s="35"/>
      <c r="J23" s="93"/>
    </row>
    <row r="24" spans="1:10" s="34" customFormat="1" ht="21" customHeight="1">
      <c r="A24" s="32">
        <v>3</v>
      </c>
      <c r="B24" s="122" t="s">
        <v>21</v>
      </c>
      <c r="C24" s="123"/>
      <c r="D24" s="123"/>
      <c r="E24" s="124"/>
      <c r="F24" s="35"/>
      <c r="G24" s="120" t="s">
        <v>12</v>
      </c>
      <c r="H24" s="121"/>
      <c r="I24" s="35"/>
      <c r="J24" s="93"/>
    </row>
    <row r="25" spans="1:10" s="34" customFormat="1" ht="21" customHeight="1">
      <c r="A25" s="32">
        <v>4</v>
      </c>
      <c r="B25" s="122" t="s">
        <v>39</v>
      </c>
      <c r="C25" s="123"/>
      <c r="D25" s="123"/>
      <c r="E25" s="124"/>
      <c r="F25" s="36"/>
      <c r="G25" s="120" t="s">
        <v>12</v>
      </c>
      <c r="H25" s="121"/>
      <c r="I25" s="35"/>
      <c r="J25" s="93"/>
    </row>
    <row r="26" spans="1:10" s="34" customFormat="1" ht="21" customHeight="1">
      <c r="A26" s="32">
        <v>5</v>
      </c>
      <c r="B26" s="122" t="s">
        <v>40</v>
      </c>
      <c r="C26" s="123"/>
      <c r="D26" s="123"/>
      <c r="E26" s="124"/>
      <c r="F26" s="37"/>
      <c r="G26" s="120" t="s">
        <v>12</v>
      </c>
      <c r="H26" s="121"/>
      <c r="I26" s="35"/>
      <c r="J26" s="93"/>
    </row>
    <row r="27" spans="1:10" s="34" customFormat="1" ht="21" customHeight="1">
      <c r="A27" s="32">
        <v>6</v>
      </c>
      <c r="B27" s="122" t="s">
        <v>41</v>
      </c>
      <c r="C27" s="123"/>
      <c r="D27" s="123"/>
      <c r="E27" s="124"/>
      <c r="F27" s="37"/>
      <c r="G27" s="120" t="s">
        <v>12</v>
      </c>
      <c r="H27" s="121"/>
      <c r="I27" s="35"/>
      <c r="J27" s="93"/>
    </row>
    <row r="28" spans="1:10" s="34" customFormat="1" ht="21" customHeight="1">
      <c r="A28" s="32">
        <v>7</v>
      </c>
      <c r="B28" s="122" t="s">
        <v>42</v>
      </c>
      <c r="C28" s="123"/>
      <c r="D28" s="123"/>
      <c r="E28" s="124"/>
      <c r="F28" s="37"/>
      <c r="G28" s="120" t="s">
        <v>12</v>
      </c>
      <c r="H28" s="121"/>
      <c r="I28" s="35"/>
      <c r="J28" s="93"/>
    </row>
    <row r="29" spans="1:10" s="34" customFormat="1" ht="21" customHeight="1">
      <c r="A29" s="37">
        <v>8</v>
      </c>
      <c r="B29" s="122" t="s">
        <v>43</v>
      </c>
      <c r="C29" s="123"/>
      <c r="D29" s="123"/>
      <c r="E29" s="124"/>
      <c r="F29" s="31"/>
      <c r="G29" s="120" t="s">
        <v>12</v>
      </c>
      <c r="H29" s="121"/>
      <c r="I29" s="35"/>
      <c r="J29" s="93"/>
    </row>
    <row r="30" spans="1:10" s="34" customFormat="1" ht="21" customHeight="1">
      <c r="A30" s="37">
        <v>9</v>
      </c>
      <c r="B30" s="122" t="s">
        <v>44</v>
      </c>
      <c r="C30" s="123"/>
      <c r="D30" s="123"/>
      <c r="E30" s="124"/>
      <c r="F30" s="31"/>
      <c r="G30" s="120" t="s">
        <v>12</v>
      </c>
      <c r="H30" s="121"/>
      <c r="I30" s="35"/>
      <c r="J30" s="93"/>
    </row>
    <row r="31" spans="1:10" s="34" customFormat="1" ht="21" customHeight="1">
      <c r="A31" s="37" t="s">
        <v>12</v>
      </c>
      <c r="B31" s="126" t="s">
        <v>12</v>
      </c>
      <c r="C31" s="127"/>
      <c r="D31" s="127"/>
      <c r="E31" s="128"/>
      <c r="F31" s="31"/>
      <c r="G31" s="120" t="s">
        <v>12</v>
      </c>
      <c r="H31" s="121"/>
      <c r="I31" s="35"/>
      <c r="J31" s="93"/>
    </row>
    <row r="32" spans="1:10" s="34" customFormat="1" ht="21" customHeight="1">
      <c r="A32" s="38"/>
      <c r="B32" s="38"/>
      <c r="C32" s="39" t="s">
        <v>12</v>
      </c>
      <c r="D32" s="39"/>
      <c r="E32" s="39"/>
      <c r="F32" s="39"/>
      <c r="G32" s="38"/>
      <c r="H32" s="40"/>
      <c r="J32" s="94"/>
    </row>
    <row r="33" spans="1:13" s="34" customFormat="1" ht="21" customHeight="1">
      <c r="A33" s="38"/>
      <c r="B33" s="38"/>
      <c r="C33" s="39"/>
      <c r="D33" s="39"/>
      <c r="E33" s="39"/>
      <c r="F33" s="39"/>
      <c r="G33" s="38"/>
      <c r="H33" s="40"/>
      <c r="J33" s="94"/>
    </row>
    <row r="34" spans="1:13" s="34" customFormat="1" ht="21" customHeight="1">
      <c r="A34" s="38"/>
      <c r="B34" s="38"/>
      <c r="C34" s="39"/>
      <c r="D34" s="39"/>
      <c r="E34" s="39"/>
      <c r="F34" s="39"/>
      <c r="G34" s="38"/>
      <c r="H34" s="40"/>
      <c r="J34" s="94"/>
    </row>
    <row r="35" spans="1:13" s="28" customFormat="1" ht="21" customHeight="1">
      <c r="A35" s="26"/>
      <c r="B35" s="26"/>
      <c r="C35" s="41"/>
      <c r="D35" s="41"/>
      <c r="E35" s="41"/>
      <c r="G35" s="26"/>
      <c r="H35" s="26" t="s">
        <v>12</v>
      </c>
      <c r="I35" s="27"/>
      <c r="J35" s="86"/>
    </row>
    <row r="36" spans="1:13" s="28" customFormat="1" ht="21" customHeight="1">
      <c r="A36" s="119" t="s">
        <v>64</v>
      </c>
      <c r="B36" s="119"/>
      <c r="C36" s="119"/>
      <c r="D36" s="119"/>
      <c r="E36" s="119"/>
      <c r="F36" s="119"/>
      <c r="G36" s="119"/>
      <c r="H36" s="119"/>
      <c r="I36" s="119"/>
      <c r="J36" s="119"/>
      <c r="K36" s="119"/>
      <c r="L36" s="119"/>
      <c r="M36" s="119"/>
    </row>
    <row r="37" spans="1:13" s="28" customFormat="1" ht="40.950000000000003" customHeight="1">
      <c r="A37" s="72" t="s">
        <v>65</v>
      </c>
      <c r="B37" s="72" t="s">
        <v>66</v>
      </c>
      <c r="C37" s="72" t="s">
        <v>67</v>
      </c>
      <c r="D37" s="72" t="s">
        <v>104</v>
      </c>
      <c r="E37" s="72" t="s">
        <v>105</v>
      </c>
      <c r="F37" s="72" t="s">
        <v>106</v>
      </c>
      <c r="G37" s="72" t="s">
        <v>68</v>
      </c>
      <c r="H37" s="72" t="s">
        <v>69</v>
      </c>
      <c r="I37" s="72" t="s">
        <v>70</v>
      </c>
      <c r="J37" s="95" t="s">
        <v>71</v>
      </c>
      <c r="K37" s="72" t="s">
        <v>72</v>
      </c>
      <c r="L37" s="72" t="s">
        <v>73</v>
      </c>
      <c r="M37" s="72" t="s">
        <v>71</v>
      </c>
    </row>
    <row r="38" spans="1:13" s="28" customFormat="1" ht="25.2" customHeight="1">
      <c r="A38" s="73" t="s">
        <v>74</v>
      </c>
      <c r="B38" s="73">
        <v>1.02</v>
      </c>
      <c r="C38" s="73">
        <v>2.72</v>
      </c>
      <c r="D38" s="73" t="s">
        <v>128</v>
      </c>
      <c r="E38" s="103"/>
      <c r="F38" s="103"/>
      <c r="G38" s="73">
        <v>152</v>
      </c>
      <c r="H38" s="73" t="s">
        <v>25</v>
      </c>
      <c r="I38" s="73" t="s">
        <v>89</v>
      </c>
      <c r="J38" s="96"/>
      <c r="K38" s="73" t="s">
        <v>25</v>
      </c>
      <c r="L38" s="73" t="s">
        <v>89</v>
      </c>
      <c r="M38" s="73"/>
    </row>
    <row r="39" spans="1:13" s="28" customFormat="1" ht="25.2" customHeight="1">
      <c r="A39" s="73" t="s">
        <v>75</v>
      </c>
      <c r="B39" s="73">
        <v>1.0900000000000001</v>
      </c>
      <c r="C39" s="73">
        <v>2.79</v>
      </c>
      <c r="D39" s="73"/>
      <c r="E39" s="103"/>
      <c r="F39" s="103"/>
      <c r="G39" s="73">
        <v>152</v>
      </c>
      <c r="H39" s="73" t="s">
        <v>25</v>
      </c>
      <c r="I39" s="73" t="s">
        <v>89</v>
      </c>
      <c r="J39" s="96"/>
      <c r="K39" s="73" t="s">
        <v>76</v>
      </c>
      <c r="L39" s="73" t="s">
        <v>91</v>
      </c>
      <c r="M39" s="73"/>
    </row>
    <row r="40" spans="1:13" s="28" customFormat="1" ht="25.2" customHeight="1">
      <c r="A40" s="73" t="s">
        <v>77</v>
      </c>
      <c r="B40" s="73">
        <v>1.1399999999999999</v>
      </c>
      <c r="C40" s="73">
        <v>2.84</v>
      </c>
      <c r="D40" s="73" t="s">
        <v>125</v>
      </c>
      <c r="E40" s="103"/>
      <c r="F40" s="104"/>
      <c r="G40" s="73">
        <v>152</v>
      </c>
      <c r="H40" s="73" t="s">
        <v>26</v>
      </c>
      <c r="I40" s="73" t="s">
        <v>91</v>
      </c>
      <c r="J40" s="96"/>
      <c r="K40" s="73" t="s">
        <v>26</v>
      </c>
      <c r="L40" s="73" t="s">
        <v>91</v>
      </c>
      <c r="M40" s="73"/>
    </row>
    <row r="41" spans="1:13" s="28" customFormat="1" ht="25.2" customHeight="1">
      <c r="A41" s="73" t="s">
        <v>78</v>
      </c>
      <c r="B41" s="73">
        <v>1.22</v>
      </c>
      <c r="C41" s="73">
        <v>2.92</v>
      </c>
      <c r="D41" s="73"/>
      <c r="E41" s="103"/>
      <c r="F41" s="103"/>
      <c r="G41" s="73">
        <v>152</v>
      </c>
      <c r="H41" s="73" t="s">
        <v>26</v>
      </c>
      <c r="I41" s="73" t="s">
        <v>91</v>
      </c>
      <c r="J41" s="96"/>
      <c r="K41" s="73" t="s">
        <v>79</v>
      </c>
      <c r="L41" s="73" t="s">
        <v>92</v>
      </c>
      <c r="M41" s="73"/>
    </row>
    <row r="42" spans="1:13" s="28" customFormat="1" ht="25.2" customHeight="1">
      <c r="A42" s="73" t="s">
        <v>80</v>
      </c>
      <c r="B42" s="73">
        <v>1.65</v>
      </c>
      <c r="C42" s="73">
        <v>3.35</v>
      </c>
      <c r="D42" s="73"/>
      <c r="E42" s="103"/>
      <c r="F42" s="103"/>
      <c r="G42" s="73">
        <v>152</v>
      </c>
      <c r="H42" s="73" t="s">
        <v>27</v>
      </c>
      <c r="I42" s="73" t="s">
        <v>93</v>
      </c>
      <c r="J42" s="96"/>
      <c r="K42" s="73" t="s">
        <v>81</v>
      </c>
      <c r="L42" s="73" t="s">
        <v>93</v>
      </c>
      <c r="M42" s="73"/>
    </row>
    <row r="43" spans="1:13" s="28" customFormat="1" ht="25.2" customHeight="1">
      <c r="A43" s="73" t="s">
        <v>82</v>
      </c>
      <c r="B43" s="73">
        <v>1.75</v>
      </c>
      <c r="C43" s="73">
        <v>3.45</v>
      </c>
      <c r="D43" s="73"/>
      <c r="E43" s="104" t="s">
        <v>121</v>
      </c>
      <c r="F43" s="105"/>
      <c r="G43" s="73">
        <v>152</v>
      </c>
      <c r="H43" s="73" t="s">
        <v>27</v>
      </c>
      <c r="I43" s="73" t="s">
        <v>93</v>
      </c>
      <c r="J43" s="96"/>
      <c r="K43" s="73" t="s">
        <v>83</v>
      </c>
      <c r="L43" s="73" t="s">
        <v>90</v>
      </c>
      <c r="M43" s="73"/>
    </row>
    <row r="44" spans="1:13" s="28" customFormat="1" ht="25.2" customHeight="1">
      <c r="A44" s="73" t="s">
        <v>84</v>
      </c>
      <c r="B44" s="73">
        <v>1.85</v>
      </c>
      <c r="C44" s="73">
        <v>3.55</v>
      </c>
      <c r="D44" s="73"/>
      <c r="E44" s="103"/>
      <c r="F44" s="103" t="s">
        <v>128</v>
      </c>
      <c r="G44" s="73">
        <v>152</v>
      </c>
      <c r="H44" s="73" t="s">
        <v>28</v>
      </c>
      <c r="I44" s="73" t="s">
        <v>90</v>
      </c>
      <c r="J44" s="96"/>
      <c r="K44" s="73" t="s">
        <v>83</v>
      </c>
      <c r="L44" s="73" t="s">
        <v>90</v>
      </c>
      <c r="M44" s="73"/>
    </row>
    <row r="45" spans="1:13" s="4" customFormat="1" ht="25.2" customHeight="1">
      <c r="A45" s="73" t="s">
        <v>85</v>
      </c>
      <c r="B45" s="73">
        <v>2.06</v>
      </c>
      <c r="C45" s="73">
        <v>3.76</v>
      </c>
      <c r="D45" s="73"/>
      <c r="E45" s="103"/>
      <c r="F45" s="103"/>
      <c r="G45" s="73">
        <v>152</v>
      </c>
      <c r="H45" s="74" t="s">
        <v>29</v>
      </c>
      <c r="I45" s="73" t="s">
        <v>94</v>
      </c>
      <c r="J45" s="96"/>
      <c r="K45" s="73" t="s">
        <v>29</v>
      </c>
      <c r="L45" s="73" t="s">
        <v>94</v>
      </c>
      <c r="M45" s="73"/>
    </row>
    <row r="46" spans="1:13" s="4" customFormat="1" ht="25.5" customHeight="1">
      <c r="A46" s="3"/>
      <c r="B46" s="3"/>
      <c r="E46" s="105"/>
      <c r="F46" s="105"/>
      <c r="G46" s="3"/>
      <c r="H46" s="3"/>
      <c r="J46" s="97"/>
    </row>
    <row r="47" spans="1:13" ht="25.5" customHeight="1">
      <c r="E47" s="103"/>
      <c r="F47" s="103"/>
    </row>
    <row r="48" spans="1:13" ht="25.5" customHeight="1">
      <c r="E48" s="103"/>
      <c r="F48" s="103"/>
    </row>
  </sheetData>
  <mergeCells count="29">
    <mergeCell ref="B30:E30"/>
    <mergeCell ref="B31:E31"/>
    <mergeCell ref="B20:E21"/>
    <mergeCell ref="G20:H21"/>
    <mergeCell ref="I20:J20"/>
    <mergeCell ref="G22:H22"/>
    <mergeCell ref="G23:H23"/>
    <mergeCell ref="B23:E23"/>
    <mergeCell ref="A6:K6"/>
    <mergeCell ref="A20:A21"/>
    <mergeCell ref="F20:F21"/>
    <mergeCell ref="A1:J5"/>
    <mergeCell ref="B22:E22"/>
    <mergeCell ref="A36:G36"/>
    <mergeCell ref="H36:M36"/>
    <mergeCell ref="G30:H30"/>
    <mergeCell ref="G31:H31"/>
    <mergeCell ref="G24:H24"/>
    <mergeCell ref="G25:H25"/>
    <mergeCell ref="G26:H26"/>
    <mergeCell ref="G27:H27"/>
    <mergeCell ref="G28:H28"/>
    <mergeCell ref="G29:H29"/>
    <mergeCell ref="B24:E24"/>
    <mergeCell ref="B25:E25"/>
    <mergeCell ref="B26:E26"/>
    <mergeCell ref="B27:E27"/>
    <mergeCell ref="B28:E28"/>
    <mergeCell ref="B29:E29"/>
  </mergeCells>
  <phoneticPr fontId="20" type="noConversion"/>
  <pageMargins left="0.51181102362204722" right="0.11811023622047245" top="0.35433070866141736" bottom="0.15748031496062992" header="0.31496062992125984" footer="0.31496062992125984"/>
  <pageSetup paperSize="9" scale="75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F915FA9-662F-4BBC-ACDC-22805800E086}">
          <x14:formula1>
            <xm:f>INDIRECT('A1'!$F$26)</xm:f>
          </x14:formula1>
          <xm:sqref>D38:F45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</vt:i4>
      </vt:variant>
    </vt:vector>
  </HeadingPairs>
  <TitlesOfParts>
    <vt:vector size="5" baseType="lpstr">
      <vt:lpstr>A1</vt:lpstr>
      <vt:lpstr>A2</vt:lpstr>
      <vt:lpstr>E_3603</vt:lpstr>
      <vt:lpstr>LMT_55</vt:lpstr>
      <vt:lpstr>Pharmed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Yada Sirimanuwat</dc:creator>
  <cp:lastModifiedBy>paisi</cp:lastModifiedBy>
  <cp:lastPrinted>2026-08-07T00:39:10Z</cp:lastPrinted>
  <dcterms:created xsi:type="dcterms:W3CDTF">2025-02-26T01:47:25Z</dcterms:created>
  <dcterms:modified xsi:type="dcterms:W3CDTF">2026-08-09T02:26:00Z</dcterms:modified>
</cp:coreProperties>
</file>